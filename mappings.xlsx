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s" sheetId="1" r:id="rId5"/>
    <sheet state="visible" name="Edges" sheetId="2" r:id="rId6"/>
    <sheet state="visible" name="Analysis_2018" sheetId="3" r:id="rId7"/>
    <sheet state="visible" name="Analysis" sheetId="4" r:id="rId8"/>
  </sheets>
  <definedNames/>
  <calcPr/>
</workbook>
</file>

<file path=xl/sharedStrings.xml><?xml version="1.0" encoding="utf-8"?>
<sst xmlns="http://schemas.openxmlformats.org/spreadsheetml/2006/main" count="1622" uniqueCount="195">
  <si>
    <t>YW name</t>
  </si>
  <si>
    <t>Exists in YW?</t>
  </si>
  <si>
    <t>Monolithic name</t>
  </si>
  <si>
    <t>Exists in Monolithc?</t>
  </si>
  <si>
    <t>Modular name</t>
  </si>
  <si>
    <t>Exists in Modular?</t>
  </si>
  <si>
    <t>AI Modular v1 name</t>
  </si>
  <si>
    <t>AI Modular v2 name</t>
  </si>
  <si>
    <t>Type</t>
  </si>
  <si>
    <t>/* FUNCTIONS – Nodes representing atomic programs in workflow */</t>
  </si>
  <si>
    <t>TP</t>
  </si>
  <si>
    <t>FN</t>
  </si>
  <si>
    <t>FP</t>
  </si>
  <si>
    <t>ReadArgs</t>
  </si>
  <si>
    <t>YES</t>
  </si>
  <si>
    <t>NO</t>
  </si>
  <si>
    <t>read_args</t>
  </si>
  <si>
    <t>initialize_environment</t>
  </si>
  <si>
    <t>FUNCTION</t>
  </si>
  <si>
    <t>YW</t>
  </si>
  <si>
    <t>Modular AI v2</t>
  </si>
  <si>
    <t>ReadDataFileInput</t>
  </si>
  <si>
    <t>read_data_file_input</t>
  </si>
  <si>
    <t>CalculateWaveLength</t>
  </si>
  <si>
    <t>calculate_wavelength</t>
  </si>
  <si>
    <t>CalculateIncidentWavePolarization</t>
  </si>
  <si>
    <t>calculate_incident_wave_polarization</t>
  </si>
  <si>
    <t>ReadModelCoordinates</t>
  </si>
  <si>
    <t>read_model_coordinates</t>
  </si>
  <si>
    <t>ReadFacetsModel</t>
  </si>
  <si>
    <t>read_facets_model</t>
  </si>
  <si>
    <t>GenerateTransposeMatrix</t>
  </si>
  <si>
    <t>generate_transpose_matrix</t>
  </si>
  <si>
    <t>GenerateCoordinatesPoints</t>
  </si>
  <si>
    <t>generate_coordinates_points</t>
  </si>
  <si>
    <t>PlotModel</t>
  </si>
  <si>
    <t>plot_model</t>
  </si>
  <si>
    <t>CalculateRefsGeometryModel</t>
  </si>
  <si>
    <t>calculate_refs_geometry_model</t>
  </si>
  <si>
    <t>PrepareOutput</t>
  </si>
  <si>
    <t>prepare_output</t>
  </si>
  <si>
    <t>/* 2nd LEVEL FUNCTIONS – Nodes representing composite programs (sub-workflows) in workflow */</t>
  </si>
  <si>
    <t>CalculateGlobalAnglesAndDirections</t>
  </si>
  <si>
    <t>calculate_global_angles_and_directions</t>
  </si>
  <si>
    <t>CalculateSphericalCoordinateSystemRadialUnitVector</t>
  </si>
  <si>
    <t>calculate_spherical_coordinate_system_radial_unit_vector</t>
  </si>
  <si>
    <t>CalculateIncidentFieldInGlobalCartesianCoordinates</t>
  </si>
  <si>
    <t>calculate_incident_field_in_global_cartesian_coordinates</t>
  </si>
  <si>
    <t>/* VARS, INPUTS, OUTPUTS, PORTS – Nodes for non-parameter data channels in workflow */</t>
  </si>
  <si>
    <t>Arguments</t>
  </si>
  <si>
    <t>argv</t>
  </si>
  <si>
    <t>INPUT</t>
  </si>
  <si>
    <t>CoordinatesFile</t>
  </si>
  <si>
    <t>BOX/coordinates.m</t>
  </si>
  <si>
    <t>InputDataFile</t>
  </si>
  <si>
    <t>input_data_file_002.dat</t>
  </si>
  <si>
    <t>FacetsFile</t>
  </si>
  <si>
    <t>BOX/facets.m</t>
  </si>
  <si>
    <t>R_Output</t>
  </si>
  <si>
    <t>output/.../R.dat</t>
  </si>
  <si>
    <t>OUTPUT</t>
  </si>
  <si>
    <t>E0_Output</t>
  </si>
  <si>
    <t>output/.../E0.dat</t>
  </si>
  <si>
    <t>PlotOutput</t>
  </si>
  <si>
    <t>output/.../plot.png</t>
  </si>
  <si>
    <t>Time</t>
  </si>
  <si>
    <t>time</t>
  </si>
  <si>
    <t>VAR</t>
  </si>
  <si>
    <t>ProgramName</t>
  </si>
  <si>
    <t>program_name</t>
  </si>
  <si>
    <t>InputDataFileName</t>
  </si>
  <si>
    <t>input_data_file</t>
  </si>
  <si>
    <t>InputModel</t>
  </si>
  <si>
    <t>input_model</t>
  </si>
  <si>
    <t>OutputDir</t>
  </si>
  <si>
    <t>output_dir</t>
  </si>
  <si>
    <t>Freq</t>
  </si>
  <si>
    <t>freq</t>
  </si>
  <si>
    <t>Corr</t>
  </si>
  <si>
    <t>corr</t>
  </si>
  <si>
    <t>Delstd</t>
  </si>
  <si>
    <t>delstd</t>
  </si>
  <si>
    <t>InputPolarization</t>
  </si>
  <si>
    <t>ipol</t>
  </si>
  <si>
    <t>PStart</t>
  </si>
  <si>
    <t>pstart</t>
  </si>
  <si>
    <t>PStop</t>
  </si>
  <si>
    <t>pstop</t>
  </si>
  <si>
    <t>InputDelP</t>
  </si>
  <si>
    <t>delp</t>
  </si>
  <si>
    <t>TStart</t>
  </si>
  <si>
    <t>tstart</t>
  </si>
  <si>
    <t>TStop</t>
  </si>
  <si>
    <t>tstop</t>
  </si>
  <si>
    <t>InputDelT</t>
  </si>
  <si>
    <t>delt</t>
  </si>
  <si>
    <t>WaveLength</t>
  </si>
  <si>
    <t>waveL</t>
  </si>
  <si>
    <t>Et</t>
  </si>
  <si>
    <t>et</t>
  </si>
  <si>
    <t>Ep</t>
  </si>
  <si>
    <t>ep</t>
  </si>
  <si>
    <t>XPoints</t>
  </si>
  <si>
    <t>xpts</t>
  </si>
  <si>
    <t>YPoints</t>
  </si>
  <si>
    <t>ypts</t>
  </si>
  <si>
    <t>ZPoints</t>
  </si>
  <si>
    <t>zpts</t>
  </si>
  <si>
    <t>Nverts</t>
  </si>
  <si>
    <t>nverts</t>
  </si>
  <si>
    <t>Facets</t>
  </si>
  <si>
    <t>facets</t>
  </si>
  <si>
    <t>Node1</t>
  </si>
  <si>
    <t>node1</t>
  </si>
  <si>
    <t>Node2</t>
  </si>
  <si>
    <t>node2</t>
  </si>
  <si>
    <t>Node3</t>
  </si>
  <si>
    <t>node3</t>
  </si>
  <si>
    <t>Points</t>
  </si>
  <si>
    <t>r</t>
  </si>
  <si>
    <t>points</t>
  </si>
  <si>
    <t>IT</t>
  </si>
  <si>
    <t>it</t>
  </si>
  <si>
    <t>IP</t>
  </si>
  <si>
    <t>ip</t>
  </si>
  <si>
    <t>DelP</t>
  </si>
  <si>
    <t>adj_delp</t>
  </si>
  <si>
    <t>DelT</t>
  </si>
  <si>
    <t>adj_delt</t>
  </si>
  <si>
    <t>D0</t>
  </si>
  <si>
    <t>E</t>
  </si>
  <si>
    <t>INPUT PORTS /* Nodes representing workflow input ports */</t>
  </si>
  <si>
    <t>Arguments_input_port [label=""]</t>
  </si>
  <si>
    <t>PORT</t>
  </si>
  <si>
    <t>INPUT*</t>
  </si>
  <si>
    <t>CoordinatesFile_input_port [label=""]</t>
  </si>
  <si>
    <t>FacetsFile_input_port [label=""]</t>
  </si>
  <si>
    <t>InputDataFile_input_port [label=""]</t>
  </si>
  <si>
    <t>OUTPUT PORTS /* Nodes representing workflow output ports */</t>
  </si>
  <si>
    <t>R_Output_output_port [label=""]</t>
  </si>
  <si>
    <t>OUTPUT**</t>
  </si>
  <si>
    <t>E0_Output_output_port [label=""]</t>
  </si>
  <si>
    <t>PlotOutput_output_port [label=""]</t>
  </si>
  <si>
    <t>Additional modular variables</t>
  </si>
  <si>
    <t>i2s</t>
  </si>
  <si>
    <t>vind</t>
  </si>
  <si>
    <t>ntria</t>
  </si>
  <si>
    <t>now</t>
  </si>
  <si>
    <t>r_data</t>
  </si>
  <si>
    <t>fileR</t>
  </si>
  <si>
    <t>fileE0</t>
  </si>
  <si>
    <t>param_list</t>
  </si>
  <si>
    <t>*  Input circular nodes in YW. We counted them already</t>
  </si>
  <si>
    <t>**  Output circular nodes in YW. We counted them already</t>
  </si>
  <si>
    <t>YW From</t>
  </si>
  <si>
    <t>YW To</t>
  </si>
  <si>
    <t>Exists in YW</t>
  </si>
  <si>
    <t>Modular To</t>
  </si>
  <si>
    <t>Modular From</t>
  </si>
  <si>
    <t>Exists in Modular</t>
  </si>
  <si>
    <t>Exists in Monolithic</t>
  </si>
  <si>
    <t>input_data_file_001.dat</t>
  </si>
  <si>
    <t>...coordinates.m</t>
  </si>
  <si>
    <t>...facets.m</t>
  </si>
  <si>
    <t>PlotFile</t>
  </si>
  <si>
    <t>output/.../e0.dat</t>
  </si>
  <si>
    <t>output/.../r.dat</t>
  </si>
  <si>
    <t>&lt;INPUT PORTS&gt;</t>
  </si>
  <si>
    <t>*  Input circular nodes in YW</t>
  </si>
  <si>
    <t>&lt;OUTPUT PORTS&gt;</t>
  </si>
  <si>
    <t>**  Output circular nodes in YW</t>
  </si>
  <si>
    <t>Node Types</t>
  </si>
  <si>
    <r>
      <rPr>
        <rFont val="Calibri"/>
        <color rgb="FF000000"/>
        <sz val="11.0"/>
      </rPr>
      <t>1</t>
    </r>
    <r>
      <rPr>
        <rFont val="Calibri"/>
        <color rgb="FF000000"/>
        <sz val="11.0"/>
        <vertAlign val="superscript"/>
      </rPr>
      <t>st</t>
    </r>
    <r>
      <rPr>
        <rFont val="Calibri"/>
        <color rgb="FF000000"/>
        <sz val="11.0"/>
      </rPr>
      <t xml:space="preserve"> LEVEL FUNCTIONS</t>
    </r>
  </si>
  <si>
    <r>
      <rPr>
        <rFont val="Calibri"/>
        <color rgb="FF000000"/>
        <sz val="11.0"/>
      </rPr>
      <t>2</t>
    </r>
    <r>
      <rPr>
        <rFont val="Calibri"/>
        <color rgb="FF000000"/>
        <sz val="11.0"/>
        <vertAlign val="superscript"/>
      </rPr>
      <t>nd</t>
    </r>
    <r>
      <rPr>
        <rFont val="Calibri"/>
        <color rgb="FF000000"/>
        <sz val="11.0"/>
      </rPr>
      <t xml:space="preserve"> LEVEL FUNCTIONS</t>
    </r>
  </si>
  <si>
    <t>Nodes YW-Modular</t>
  </si>
  <si>
    <t>YW Program Ports</t>
  </si>
  <si>
    <t>(We may add it to YW Only)</t>
  </si>
  <si>
    <t>YW Only</t>
  </si>
  <si>
    <t>Modular Only</t>
  </si>
  <si>
    <t>Intersection YW-Modular</t>
  </si>
  <si>
    <t>Total YW</t>
  </si>
  <si>
    <t>Total Modular</t>
  </si>
  <si>
    <t>Precision</t>
  </si>
  <si>
    <t>TP/(TP+FP)</t>
  </si>
  <si>
    <t>Recall</t>
  </si>
  <si>
    <t>TP/(TP+FN)</t>
  </si>
  <si>
    <t>F-Measure</t>
  </si>
  <si>
    <t>Edges YW-Modular</t>
  </si>
  <si>
    <t>Nodes YW-Monolithic</t>
  </si>
  <si>
    <t>gc -n monolithic.dot</t>
  </si>
  <si>
    <t>Monolithic Only</t>
  </si>
  <si>
    <t>Intersection YW-Monolithic</t>
  </si>
  <si>
    <t>Egdes YW-Monolithic</t>
  </si>
  <si>
    <t>gc -e monolithic.dot</t>
  </si>
  <si>
    <t>Nodes YW-Modular AI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</si>
</sst>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11.0"/>
      <color rgb="FF0000FF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DB94D"/>
        <bgColor rgb="FFFDB94D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2E0AE"/>
        <bgColor rgb="FFC2E0AE"/>
      </patternFill>
    </fill>
    <fill>
      <patternFill patternType="solid">
        <fgColor rgb="FFF8CBAD"/>
        <bgColor rgb="FFF8CBA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3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1" fillId="7" fontId="6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8" fontId="6" numFmtId="0" xfId="0" applyAlignment="1" applyBorder="1" applyFill="1" applyFont="1">
      <alignment shrinkToFit="0" vertical="bottom" wrapText="0"/>
    </xf>
    <xf borderId="0" fillId="0" fontId="4" numFmtId="0" xfId="0" applyFont="1"/>
    <xf borderId="1" fillId="9" fontId="6" numFmtId="0" xfId="0" applyAlignment="1" applyBorder="1" applyFill="1" applyFont="1">
      <alignment shrinkToFit="0" vertical="bottom" wrapText="0"/>
    </xf>
    <xf borderId="1" fillId="10" fontId="6" numFmtId="0" xfId="0" applyAlignment="1" applyBorder="1" applyFill="1" applyFont="1">
      <alignment shrinkToFit="0" vertical="bottom" wrapText="0"/>
    </xf>
    <xf borderId="0" fillId="0" fontId="7" numFmtId="0" xfId="0" applyFont="1"/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14"/>
    <col customWidth="1" min="2" max="2" width="12.29"/>
    <col customWidth="1" min="3" max="3" width="52.14"/>
    <col customWidth="1" min="4" max="4" width="12.29"/>
    <col customWidth="1" min="5" max="5" width="52.14"/>
    <col customWidth="1" min="6" max="6" width="12.29"/>
    <col customWidth="1" min="7" max="7" width="52.14"/>
    <col customWidth="1" min="8" max="8" width="12.29"/>
    <col customWidth="1" min="9" max="9" width="52.14"/>
    <col customWidth="1" min="10" max="10" width="12.29"/>
    <col customWidth="1" min="11" max="13" width="10.14"/>
    <col customWidth="1" min="14" max="16" width="8.57"/>
    <col customWidth="1" min="17" max="17" width="17.29"/>
    <col customWidth="1" min="18" max="25" width="8.57"/>
  </cols>
  <sheetData>
    <row r="1" ht="53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5</v>
      </c>
      <c r="I1" s="5" t="s">
        <v>7</v>
      </c>
      <c r="J1" s="4" t="s">
        <v>5</v>
      </c>
      <c r="K1" s="6" t="s">
        <v>8</v>
      </c>
    </row>
    <row r="2" ht="13.5" customHeight="1">
      <c r="A2" s="7" t="s">
        <v>9</v>
      </c>
      <c r="B2" s="7">
        <f>COUNTIF(B3:B13,"YES")</f>
        <v>11</v>
      </c>
      <c r="C2" s="7"/>
      <c r="D2" s="7">
        <f>COUNTIF(D3:D13,"YES")</f>
        <v>0</v>
      </c>
      <c r="E2" s="7"/>
      <c r="F2" s="7">
        <f>COUNTIF(F3:F13,"YES")</f>
        <v>11</v>
      </c>
      <c r="G2" s="7"/>
      <c r="H2" s="7">
        <f>COUNTIF(H3:H13,"YES")</f>
        <v>11</v>
      </c>
      <c r="I2" s="7"/>
      <c r="J2" s="7">
        <f>COUNTIF(J3:J13,"YES")</f>
        <v>11</v>
      </c>
      <c r="K2" s="7"/>
      <c r="M2" s="8"/>
      <c r="N2" s="9" t="s">
        <v>10</v>
      </c>
      <c r="O2" s="9" t="s">
        <v>11</v>
      </c>
      <c r="P2" s="9" t="s">
        <v>12</v>
      </c>
      <c r="Q2" s="8"/>
      <c r="R2" s="7"/>
      <c r="S2" s="7"/>
      <c r="T2" s="7"/>
      <c r="U2" s="7"/>
      <c r="V2" s="7"/>
      <c r="W2" s="7"/>
      <c r="X2" s="7"/>
      <c r="Y2" s="7"/>
    </row>
    <row r="3" ht="13.5" customHeight="1">
      <c r="A3" s="10" t="s">
        <v>13</v>
      </c>
      <c r="B3" s="11" t="s">
        <v>14</v>
      </c>
      <c r="C3" s="12"/>
      <c r="D3" s="13" t="s">
        <v>15</v>
      </c>
      <c r="E3" s="14" t="s">
        <v>16</v>
      </c>
      <c r="F3" s="11" t="s">
        <v>14</v>
      </c>
      <c r="G3" s="15" t="s">
        <v>17</v>
      </c>
      <c r="H3" s="11" t="s">
        <v>14</v>
      </c>
      <c r="I3" s="14" t="s">
        <v>16</v>
      </c>
      <c r="J3" s="11" t="s">
        <v>14</v>
      </c>
      <c r="K3" s="16" t="s">
        <v>18</v>
      </c>
      <c r="M3" s="17" t="s">
        <v>19</v>
      </c>
      <c r="N3" s="17">
        <v>9.44</v>
      </c>
      <c r="O3" s="17">
        <v>4.56</v>
      </c>
      <c r="P3" s="17">
        <v>1.16</v>
      </c>
      <c r="Q3" s="18" t="s">
        <v>20</v>
      </c>
    </row>
    <row r="4" ht="13.5" customHeight="1">
      <c r="A4" s="13" t="s">
        <v>21</v>
      </c>
      <c r="B4" s="11" t="s">
        <v>14</v>
      </c>
      <c r="C4" s="12"/>
      <c r="D4" s="13" t="s">
        <v>15</v>
      </c>
      <c r="E4" s="14" t="s">
        <v>22</v>
      </c>
      <c r="F4" s="11" t="s">
        <v>14</v>
      </c>
      <c r="G4" s="14" t="s">
        <v>22</v>
      </c>
      <c r="H4" s="11" t="s">
        <v>14</v>
      </c>
      <c r="I4" s="14" t="s">
        <v>22</v>
      </c>
      <c r="J4" s="11" t="s">
        <v>14</v>
      </c>
      <c r="K4" s="16" t="s">
        <v>18</v>
      </c>
      <c r="M4" s="8"/>
      <c r="N4" s="8"/>
      <c r="O4" s="8"/>
      <c r="P4" s="8"/>
      <c r="Q4" s="8"/>
    </row>
    <row r="5" ht="13.5" customHeight="1">
      <c r="A5" s="13" t="s">
        <v>23</v>
      </c>
      <c r="B5" s="11" t="s">
        <v>14</v>
      </c>
      <c r="C5" s="12"/>
      <c r="D5" s="13" t="s">
        <v>15</v>
      </c>
      <c r="E5" s="14" t="s">
        <v>24</v>
      </c>
      <c r="F5" s="11" t="s">
        <v>14</v>
      </c>
      <c r="G5" s="14" t="s">
        <v>24</v>
      </c>
      <c r="H5" s="11" t="s">
        <v>14</v>
      </c>
      <c r="I5" s="14" t="s">
        <v>24</v>
      </c>
      <c r="J5" s="11" t="s">
        <v>14</v>
      </c>
      <c r="K5" s="16" t="s">
        <v>18</v>
      </c>
      <c r="M5" s="8"/>
      <c r="N5" s="8"/>
      <c r="O5" s="8"/>
      <c r="P5" s="8"/>
      <c r="Q5" s="8"/>
    </row>
    <row r="6" ht="13.5" customHeight="1">
      <c r="A6" s="13" t="s">
        <v>25</v>
      </c>
      <c r="B6" s="11" t="s">
        <v>14</v>
      </c>
      <c r="C6" s="12"/>
      <c r="D6" s="13" t="s">
        <v>15</v>
      </c>
      <c r="E6" s="14" t="s">
        <v>26</v>
      </c>
      <c r="F6" s="11" t="s">
        <v>14</v>
      </c>
      <c r="G6" s="14" t="s">
        <v>26</v>
      </c>
      <c r="H6" s="11" t="s">
        <v>14</v>
      </c>
      <c r="I6" s="14" t="s">
        <v>26</v>
      </c>
      <c r="J6" s="11" t="s">
        <v>14</v>
      </c>
      <c r="K6" s="16" t="s">
        <v>18</v>
      </c>
      <c r="M6" s="8"/>
      <c r="N6" s="8"/>
      <c r="O6" s="8"/>
      <c r="P6" s="8"/>
      <c r="Q6" s="8"/>
    </row>
    <row r="7" ht="13.5" customHeight="1">
      <c r="A7" s="13" t="s">
        <v>27</v>
      </c>
      <c r="B7" s="11" t="s">
        <v>14</v>
      </c>
      <c r="C7" s="12"/>
      <c r="D7" s="13" t="s">
        <v>15</v>
      </c>
      <c r="E7" s="14" t="s">
        <v>28</v>
      </c>
      <c r="F7" s="11" t="s">
        <v>14</v>
      </c>
      <c r="G7" s="14" t="s">
        <v>28</v>
      </c>
      <c r="H7" s="11" t="s">
        <v>14</v>
      </c>
      <c r="I7" s="14" t="s">
        <v>28</v>
      </c>
      <c r="J7" s="11" t="s">
        <v>14</v>
      </c>
      <c r="K7" s="16" t="s">
        <v>18</v>
      </c>
      <c r="M7" s="8"/>
      <c r="N7" s="8"/>
      <c r="O7" s="8"/>
      <c r="P7" s="8"/>
      <c r="Q7" s="8"/>
    </row>
    <row r="8" ht="13.5" customHeight="1">
      <c r="A8" s="13" t="s">
        <v>29</v>
      </c>
      <c r="B8" s="11" t="s">
        <v>14</v>
      </c>
      <c r="C8" s="12"/>
      <c r="D8" s="13" t="s">
        <v>15</v>
      </c>
      <c r="E8" s="14" t="s">
        <v>30</v>
      </c>
      <c r="F8" s="11" t="s">
        <v>14</v>
      </c>
      <c r="G8" s="14" t="s">
        <v>30</v>
      </c>
      <c r="H8" s="11" t="s">
        <v>14</v>
      </c>
      <c r="I8" s="14" t="s">
        <v>30</v>
      </c>
      <c r="J8" s="11" t="s">
        <v>14</v>
      </c>
      <c r="K8" s="16" t="s">
        <v>18</v>
      </c>
      <c r="M8" s="8"/>
      <c r="N8" s="8"/>
      <c r="O8" s="8"/>
      <c r="P8" s="8"/>
      <c r="Q8" s="8"/>
    </row>
    <row r="9" ht="13.5" customHeight="1">
      <c r="A9" s="13" t="s">
        <v>31</v>
      </c>
      <c r="B9" s="11" t="s">
        <v>14</v>
      </c>
      <c r="C9" s="12"/>
      <c r="D9" s="13" t="s">
        <v>15</v>
      </c>
      <c r="E9" s="14" t="s">
        <v>32</v>
      </c>
      <c r="F9" s="11" t="s">
        <v>14</v>
      </c>
      <c r="G9" s="14" t="s">
        <v>32</v>
      </c>
      <c r="H9" s="11" t="s">
        <v>14</v>
      </c>
      <c r="I9" s="14" t="s">
        <v>32</v>
      </c>
      <c r="J9" s="11" t="s">
        <v>14</v>
      </c>
      <c r="K9" s="16" t="s">
        <v>18</v>
      </c>
      <c r="M9" s="8"/>
      <c r="N9" s="8"/>
      <c r="O9" s="8"/>
      <c r="P9" s="8"/>
      <c r="Q9" s="8"/>
    </row>
    <row r="10" ht="13.5" customHeight="1">
      <c r="A10" s="13" t="s">
        <v>33</v>
      </c>
      <c r="B10" s="11" t="s">
        <v>14</v>
      </c>
      <c r="C10" s="12"/>
      <c r="D10" s="13" t="s">
        <v>15</v>
      </c>
      <c r="E10" s="14" t="s">
        <v>34</v>
      </c>
      <c r="F10" s="11" t="s">
        <v>14</v>
      </c>
      <c r="G10" s="14" t="s">
        <v>34</v>
      </c>
      <c r="H10" s="11" t="s">
        <v>14</v>
      </c>
      <c r="I10" s="14" t="s">
        <v>34</v>
      </c>
      <c r="J10" s="11" t="s">
        <v>14</v>
      </c>
      <c r="K10" s="16" t="s">
        <v>18</v>
      </c>
      <c r="M10" s="8"/>
      <c r="N10" s="8"/>
      <c r="O10" s="8"/>
      <c r="P10" s="8"/>
      <c r="Q10" s="8"/>
    </row>
    <row r="11" ht="13.5" customHeight="1">
      <c r="A11" s="13" t="s">
        <v>35</v>
      </c>
      <c r="B11" s="11" t="s">
        <v>14</v>
      </c>
      <c r="C11" s="12"/>
      <c r="D11" s="13" t="s">
        <v>15</v>
      </c>
      <c r="E11" s="14" t="s">
        <v>36</v>
      </c>
      <c r="F11" s="11" t="s">
        <v>14</v>
      </c>
      <c r="G11" s="14" t="s">
        <v>36</v>
      </c>
      <c r="H11" s="11" t="s">
        <v>14</v>
      </c>
      <c r="I11" s="14" t="s">
        <v>36</v>
      </c>
      <c r="J11" s="11" t="s">
        <v>14</v>
      </c>
      <c r="K11" s="16" t="s">
        <v>18</v>
      </c>
      <c r="M11" s="8"/>
      <c r="N11" s="8"/>
      <c r="O11" s="8"/>
      <c r="P11" s="8"/>
      <c r="Q11" s="8"/>
    </row>
    <row r="12" ht="13.5" customHeight="1">
      <c r="A12" s="13" t="s">
        <v>37</v>
      </c>
      <c r="B12" s="11" t="s">
        <v>14</v>
      </c>
      <c r="C12" s="12"/>
      <c r="D12" s="13" t="s">
        <v>15</v>
      </c>
      <c r="E12" s="14" t="s">
        <v>38</v>
      </c>
      <c r="F12" s="11" t="s">
        <v>14</v>
      </c>
      <c r="G12" s="14" t="s">
        <v>38</v>
      </c>
      <c r="H12" s="11" t="s">
        <v>14</v>
      </c>
      <c r="I12" s="14" t="s">
        <v>38</v>
      </c>
      <c r="J12" s="11" t="s">
        <v>14</v>
      </c>
      <c r="K12" s="16" t="s">
        <v>18</v>
      </c>
      <c r="M12" s="8"/>
      <c r="N12" s="8"/>
      <c r="O12" s="8"/>
      <c r="P12" s="8"/>
      <c r="Q12" s="8"/>
    </row>
    <row r="13" ht="13.5" customHeight="1">
      <c r="A13" s="13" t="s">
        <v>39</v>
      </c>
      <c r="B13" s="11" t="s">
        <v>14</v>
      </c>
      <c r="C13" s="12"/>
      <c r="D13" s="13" t="s">
        <v>15</v>
      </c>
      <c r="E13" s="14" t="s">
        <v>40</v>
      </c>
      <c r="F13" s="11" t="s">
        <v>14</v>
      </c>
      <c r="G13" s="14" t="s">
        <v>40</v>
      </c>
      <c r="H13" s="11" t="s">
        <v>14</v>
      </c>
      <c r="I13" s="14" t="s">
        <v>40</v>
      </c>
      <c r="J13" s="11" t="s">
        <v>14</v>
      </c>
      <c r="K13" s="16" t="s">
        <v>18</v>
      </c>
      <c r="M13" s="8"/>
      <c r="N13" s="8"/>
      <c r="O13" s="8"/>
      <c r="P13" s="8"/>
      <c r="Q13" s="8"/>
    </row>
    <row r="14" ht="13.5" customHeight="1">
      <c r="A14" s="12"/>
      <c r="B14" s="19"/>
      <c r="C14" s="12"/>
      <c r="D14" s="12"/>
      <c r="F14" s="12"/>
      <c r="H14" s="12"/>
      <c r="J14" s="12"/>
      <c r="K14" s="12"/>
      <c r="M14" s="8"/>
      <c r="N14" s="8"/>
      <c r="O14" s="8"/>
      <c r="P14" s="8"/>
      <c r="Q14" s="8"/>
    </row>
    <row r="15" ht="13.5" customHeight="1">
      <c r="A15" s="20" t="s">
        <v>41</v>
      </c>
      <c r="B15" s="7">
        <f>COUNTIF(B16:B19,"YES")</f>
        <v>3</v>
      </c>
      <c r="C15" s="7"/>
      <c r="D15" s="7">
        <f>COUNTIF(D16:D19,"YES")</f>
        <v>0</v>
      </c>
      <c r="E15" s="7"/>
      <c r="F15" s="7">
        <f>COUNTIF(F16:F19,"YES")</f>
        <v>3</v>
      </c>
      <c r="G15" s="7"/>
      <c r="H15" s="7">
        <f>COUNTIF(H16:H19,"YES")</f>
        <v>3</v>
      </c>
      <c r="I15" s="7"/>
      <c r="J15" s="7">
        <f>COUNTIF(J16:J19,"YES")</f>
        <v>3</v>
      </c>
      <c r="K15" s="7"/>
      <c r="M15" s="8"/>
      <c r="N15" s="8"/>
      <c r="O15" s="8"/>
      <c r="P15" s="8"/>
      <c r="Q15" s="21"/>
      <c r="R15" s="7"/>
      <c r="S15" s="7"/>
      <c r="T15" s="7"/>
      <c r="U15" s="7"/>
      <c r="V15" s="7"/>
      <c r="W15" s="7"/>
      <c r="X15" s="7"/>
      <c r="Y15" s="7"/>
    </row>
    <row r="16" ht="13.5" customHeight="1">
      <c r="A16" s="13" t="s">
        <v>42</v>
      </c>
      <c r="B16" s="11" t="s">
        <v>14</v>
      </c>
      <c r="C16" s="12"/>
      <c r="D16" s="13" t="s">
        <v>15</v>
      </c>
      <c r="E16" s="14" t="s">
        <v>43</v>
      </c>
      <c r="F16" s="11" t="s">
        <v>14</v>
      </c>
      <c r="G16" s="14" t="s">
        <v>43</v>
      </c>
      <c r="H16" s="11" t="s">
        <v>14</v>
      </c>
      <c r="I16" s="14" t="s">
        <v>43</v>
      </c>
      <c r="J16" s="11" t="s">
        <v>14</v>
      </c>
      <c r="K16" s="16" t="s">
        <v>18</v>
      </c>
      <c r="M16" s="8"/>
      <c r="N16" s="8"/>
      <c r="O16" s="8"/>
      <c r="P16" s="8"/>
      <c r="Q16" s="8"/>
    </row>
    <row r="17" ht="13.5" customHeight="1">
      <c r="A17" s="13" t="s">
        <v>44</v>
      </c>
      <c r="B17" s="11" t="s">
        <v>14</v>
      </c>
      <c r="C17" s="12"/>
      <c r="D17" s="13" t="s">
        <v>15</v>
      </c>
      <c r="E17" s="14" t="s">
        <v>45</v>
      </c>
      <c r="F17" s="11" t="s">
        <v>14</v>
      </c>
      <c r="G17" s="14" t="s">
        <v>45</v>
      </c>
      <c r="H17" s="11" t="s">
        <v>14</v>
      </c>
      <c r="I17" s="14" t="s">
        <v>45</v>
      </c>
      <c r="J17" s="11" t="s">
        <v>14</v>
      </c>
      <c r="K17" s="16" t="s">
        <v>18</v>
      </c>
      <c r="M17" s="8"/>
      <c r="N17" s="8"/>
      <c r="O17" s="8"/>
      <c r="P17" s="8"/>
      <c r="Q17" s="8"/>
    </row>
    <row r="18" ht="13.5" customHeight="1">
      <c r="A18" s="13" t="s">
        <v>46</v>
      </c>
      <c r="B18" s="11" t="s">
        <v>14</v>
      </c>
      <c r="C18" s="12"/>
      <c r="D18" s="13" t="s">
        <v>15</v>
      </c>
      <c r="E18" s="14" t="s">
        <v>47</v>
      </c>
      <c r="F18" s="11" t="s">
        <v>14</v>
      </c>
      <c r="G18" s="14" t="s">
        <v>47</v>
      </c>
      <c r="H18" s="11" t="s">
        <v>14</v>
      </c>
      <c r="I18" s="14" t="s">
        <v>47</v>
      </c>
      <c r="J18" s="11" t="s">
        <v>14</v>
      </c>
      <c r="K18" s="16" t="s">
        <v>18</v>
      </c>
      <c r="M18" s="8"/>
      <c r="N18" s="8"/>
      <c r="O18" s="8"/>
      <c r="P18" s="8"/>
      <c r="Q18" s="8"/>
    </row>
    <row r="19" ht="13.5" customHeight="1">
      <c r="A19" s="12"/>
      <c r="B19" s="19"/>
      <c r="C19" s="12"/>
      <c r="D19" s="12"/>
      <c r="F19" s="12"/>
      <c r="H19" s="12"/>
      <c r="J19" s="12"/>
      <c r="K19" s="12"/>
      <c r="M19" s="8"/>
      <c r="N19" s="8"/>
      <c r="O19" s="8"/>
      <c r="P19" s="8"/>
      <c r="Q19" s="8"/>
    </row>
    <row r="20" ht="13.5" customHeight="1">
      <c r="A20" s="20" t="s">
        <v>48</v>
      </c>
      <c r="B20" s="7">
        <f>COUNTIF(B21:B60,"YES")</f>
        <v>40</v>
      </c>
      <c r="C20" s="7"/>
      <c r="D20" s="7">
        <f>COUNTIF(D21:D60,"YES")</f>
        <v>40</v>
      </c>
      <c r="E20" s="7"/>
      <c r="F20" s="7">
        <f>COUNTIF(F21:F60,"YES")</f>
        <v>40</v>
      </c>
      <c r="G20" s="7"/>
      <c r="H20" s="7">
        <f>COUNTIF(H21:H60,"YES")</f>
        <v>29</v>
      </c>
      <c r="I20" s="7"/>
      <c r="J20" s="7">
        <f>COUNTIF(J21:J60,"YES")</f>
        <v>33</v>
      </c>
      <c r="K20" s="7"/>
      <c r="M20" s="8"/>
      <c r="N20" s="17">
        <v>33.0</v>
      </c>
      <c r="O20" s="17">
        <v>7.0</v>
      </c>
      <c r="P20" s="17">
        <v>3.0</v>
      </c>
      <c r="Q20" s="21"/>
      <c r="R20" s="7"/>
      <c r="S20" s="7"/>
      <c r="T20" s="7"/>
      <c r="U20" s="7"/>
      <c r="V20" s="7"/>
      <c r="W20" s="7"/>
      <c r="X20" s="7"/>
      <c r="Y20" s="7"/>
    </row>
    <row r="21" ht="13.5" customHeight="1">
      <c r="A21" s="11" t="s">
        <v>49</v>
      </c>
      <c r="B21" s="11" t="s">
        <v>14</v>
      </c>
      <c r="C21" s="12" t="s">
        <v>50</v>
      </c>
      <c r="D21" s="11" t="s">
        <v>14</v>
      </c>
      <c r="E21" s="12" t="s">
        <v>50</v>
      </c>
      <c r="F21" s="11" t="s">
        <v>14</v>
      </c>
      <c r="G21" s="12"/>
      <c r="H21" s="13" t="s">
        <v>15</v>
      </c>
      <c r="I21" s="12"/>
      <c r="J21" s="13" t="s">
        <v>15</v>
      </c>
      <c r="K21" s="22" t="s">
        <v>51</v>
      </c>
      <c r="N21" s="23">
        <f t="shared" ref="N21:P21" si="1">N3+N20</f>
        <v>42.44</v>
      </c>
      <c r="O21" s="23">
        <f t="shared" si="1"/>
        <v>11.56</v>
      </c>
      <c r="P21" s="23">
        <f t="shared" si="1"/>
        <v>4.16</v>
      </c>
    </row>
    <row r="22" ht="13.5" customHeight="1">
      <c r="A22" s="11" t="s">
        <v>52</v>
      </c>
      <c r="B22" s="11" t="s">
        <v>14</v>
      </c>
      <c r="C22" s="24" t="s">
        <v>53</v>
      </c>
      <c r="D22" s="11" t="s">
        <v>14</v>
      </c>
      <c r="E22" s="24" t="s">
        <v>53</v>
      </c>
      <c r="F22" s="11" t="s">
        <v>14</v>
      </c>
      <c r="G22" s="24" t="s">
        <v>53</v>
      </c>
      <c r="H22" s="11" t="s">
        <v>14</v>
      </c>
      <c r="I22" s="24" t="s">
        <v>53</v>
      </c>
      <c r="J22" s="11" t="s">
        <v>14</v>
      </c>
      <c r="K22" s="22" t="s">
        <v>51</v>
      </c>
    </row>
    <row r="23" ht="13.5" customHeight="1">
      <c r="A23" s="11" t="s">
        <v>54</v>
      </c>
      <c r="B23" s="11" t="s">
        <v>14</v>
      </c>
      <c r="C23" s="24" t="s">
        <v>55</v>
      </c>
      <c r="D23" s="11" t="s">
        <v>14</v>
      </c>
      <c r="E23" s="24" t="s">
        <v>55</v>
      </c>
      <c r="F23" s="11" t="s">
        <v>14</v>
      </c>
      <c r="G23" s="24" t="s">
        <v>55</v>
      </c>
      <c r="H23" s="11" t="s">
        <v>14</v>
      </c>
      <c r="I23" s="24" t="s">
        <v>55</v>
      </c>
      <c r="J23" s="11" t="s">
        <v>14</v>
      </c>
      <c r="K23" s="22" t="s">
        <v>51</v>
      </c>
    </row>
    <row r="24" ht="13.5" customHeight="1">
      <c r="A24" s="11" t="s">
        <v>56</v>
      </c>
      <c r="B24" s="11" t="s">
        <v>14</v>
      </c>
      <c r="C24" s="24" t="s">
        <v>57</v>
      </c>
      <c r="D24" s="11" t="s">
        <v>14</v>
      </c>
      <c r="E24" s="24" t="s">
        <v>57</v>
      </c>
      <c r="F24" s="11" t="s">
        <v>14</v>
      </c>
      <c r="G24" s="24" t="s">
        <v>57</v>
      </c>
      <c r="H24" s="11" t="s">
        <v>14</v>
      </c>
      <c r="I24" s="24" t="s">
        <v>57</v>
      </c>
      <c r="J24" s="11" t="s">
        <v>14</v>
      </c>
      <c r="K24" s="22" t="s">
        <v>51</v>
      </c>
    </row>
    <row r="25" ht="13.5" customHeight="1">
      <c r="A25" s="11" t="s">
        <v>58</v>
      </c>
      <c r="B25" s="11" t="s">
        <v>14</v>
      </c>
      <c r="C25" s="24" t="s">
        <v>59</v>
      </c>
      <c r="D25" s="11" t="s">
        <v>14</v>
      </c>
      <c r="E25" s="24" t="s">
        <v>59</v>
      </c>
      <c r="F25" s="11" t="s">
        <v>14</v>
      </c>
      <c r="G25" s="24" t="s">
        <v>59</v>
      </c>
      <c r="H25" s="11" t="s">
        <v>14</v>
      </c>
      <c r="I25" s="24" t="s">
        <v>59</v>
      </c>
      <c r="J25" s="11" t="s">
        <v>14</v>
      </c>
      <c r="K25" s="25" t="s">
        <v>60</v>
      </c>
    </row>
    <row r="26" ht="13.5" customHeight="1">
      <c r="A26" s="11" t="s">
        <v>61</v>
      </c>
      <c r="B26" s="11" t="s">
        <v>14</v>
      </c>
      <c r="C26" s="24" t="s">
        <v>62</v>
      </c>
      <c r="D26" s="11" t="s">
        <v>14</v>
      </c>
      <c r="E26" s="24" t="s">
        <v>62</v>
      </c>
      <c r="F26" s="11" t="s">
        <v>14</v>
      </c>
      <c r="G26" s="24" t="s">
        <v>62</v>
      </c>
      <c r="H26" s="11" t="s">
        <v>14</v>
      </c>
      <c r="I26" s="24" t="s">
        <v>62</v>
      </c>
      <c r="J26" s="11" t="s">
        <v>14</v>
      </c>
      <c r="K26" s="25" t="s">
        <v>60</v>
      </c>
    </row>
    <row r="27" ht="13.5" customHeight="1">
      <c r="A27" s="11" t="s">
        <v>63</v>
      </c>
      <c r="B27" s="11" t="s">
        <v>14</v>
      </c>
      <c r="C27" s="24" t="s">
        <v>64</v>
      </c>
      <c r="D27" s="11" t="s">
        <v>14</v>
      </c>
      <c r="E27" s="24" t="s">
        <v>64</v>
      </c>
      <c r="F27" s="11" t="s">
        <v>14</v>
      </c>
      <c r="G27" s="24" t="s">
        <v>64</v>
      </c>
      <c r="H27" s="11" t="s">
        <v>14</v>
      </c>
      <c r="I27" s="24" t="s">
        <v>64</v>
      </c>
      <c r="J27" s="11" t="s">
        <v>14</v>
      </c>
      <c r="K27" s="25" t="s">
        <v>60</v>
      </c>
    </row>
    <row r="28" ht="13.5" customHeight="1">
      <c r="A28" s="26" t="s">
        <v>65</v>
      </c>
      <c r="B28" s="11" t="s">
        <v>14</v>
      </c>
      <c r="C28" s="26" t="s">
        <v>66</v>
      </c>
      <c r="D28" s="11" t="s">
        <v>14</v>
      </c>
      <c r="E28" s="26" t="s">
        <v>66</v>
      </c>
      <c r="F28" s="11" t="s">
        <v>14</v>
      </c>
      <c r="G28" s="26" t="s">
        <v>66</v>
      </c>
      <c r="H28" s="11" t="s">
        <v>14</v>
      </c>
      <c r="I28" s="26"/>
      <c r="J28" s="13" t="s">
        <v>15</v>
      </c>
      <c r="K28" s="27" t="s">
        <v>67</v>
      </c>
    </row>
    <row r="29" ht="13.5" customHeight="1">
      <c r="A29" s="26" t="s">
        <v>68</v>
      </c>
      <c r="B29" s="11" t="s">
        <v>14</v>
      </c>
      <c r="C29" s="26" t="s">
        <v>69</v>
      </c>
      <c r="D29" s="11" t="s">
        <v>14</v>
      </c>
      <c r="E29" s="26" t="s">
        <v>69</v>
      </c>
      <c r="F29" s="11" t="s">
        <v>14</v>
      </c>
      <c r="G29" s="26" t="s">
        <v>69</v>
      </c>
      <c r="H29" s="11" t="s">
        <v>14</v>
      </c>
      <c r="I29" s="26" t="s">
        <v>69</v>
      </c>
      <c r="J29" s="11" t="s">
        <v>14</v>
      </c>
      <c r="K29" s="27" t="s">
        <v>67</v>
      </c>
    </row>
    <row r="30" ht="13.5" customHeight="1">
      <c r="A30" s="12" t="s">
        <v>70</v>
      </c>
      <c r="B30" s="11" t="s">
        <v>14</v>
      </c>
      <c r="C30" s="12" t="s">
        <v>71</v>
      </c>
      <c r="D30" s="11" t="s">
        <v>14</v>
      </c>
      <c r="E30" s="12" t="s">
        <v>71</v>
      </c>
      <c r="F30" s="11" t="s">
        <v>14</v>
      </c>
      <c r="G30" s="12" t="s">
        <v>71</v>
      </c>
      <c r="H30" s="11" t="s">
        <v>14</v>
      </c>
      <c r="I30" s="12" t="s">
        <v>71</v>
      </c>
      <c r="J30" s="11" t="s">
        <v>14</v>
      </c>
      <c r="K30" s="27" t="s">
        <v>67</v>
      </c>
    </row>
    <row r="31" ht="13.5" customHeight="1">
      <c r="A31" s="12" t="s">
        <v>72</v>
      </c>
      <c r="B31" s="11" t="s">
        <v>14</v>
      </c>
      <c r="C31" s="12" t="s">
        <v>73</v>
      </c>
      <c r="D31" s="11" t="s">
        <v>14</v>
      </c>
      <c r="E31" s="12" t="s">
        <v>73</v>
      </c>
      <c r="F31" s="11" t="s">
        <v>14</v>
      </c>
      <c r="G31" s="12" t="s">
        <v>73</v>
      </c>
      <c r="H31" s="11" t="s">
        <v>14</v>
      </c>
      <c r="I31" s="12" t="s">
        <v>73</v>
      </c>
      <c r="J31" s="11" t="s">
        <v>14</v>
      </c>
      <c r="K31" s="27" t="s">
        <v>67</v>
      </c>
    </row>
    <row r="32" ht="13.5" customHeight="1">
      <c r="A32" s="12" t="s">
        <v>74</v>
      </c>
      <c r="B32" s="11" t="s">
        <v>14</v>
      </c>
      <c r="C32" s="12" t="s">
        <v>75</v>
      </c>
      <c r="D32" s="11" t="s">
        <v>14</v>
      </c>
      <c r="E32" s="12" t="s">
        <v>75</v>
      </c>
      <c r="F32" s="11" t="s">
        <v>14</v>
      </c>
      <c r="G32" s="12" t="s">
        <v>75</v>
      </c>
      <c r="H32" s="11" t="s">
        <v>14</v>
      </c>
      <c r="I32" s="12" t="s">
        <v>75</v>
      </c>
      <c r="J32" s="11" t="s">
        <v>14</v>
      </c>
      <c r="K32" s="27" t="s">
        <v>67</v>
      </c>
    </row>
    <row r="33" ht="13.5" customHeight="1">
      <c r="A33" s="12" t="s">
        <v>76</v>
      </c>
      <c r="B33" s="11" t="s">
        <v>14</v>
      </c>
      <c r="C33" s="12" t="s">
        <v>77</v>
      </c>
      <c r="D33" s="11" t="s">
        <v>14</v>
      </c>
      <c r="E33" s="12" t="s">
        <v>77</v>
      </c>
      <c r="F33" s="11" t="s">
        <v>14</v>
      </c>
      <c r="G33" s="12" t="s">
        <v>77</v>
      </c>
      <c r="H33" s="11" t="s">
        <v>14</v>
      </c>
      <c r="I33" s="12" t="s">
        <v>77</v>
      </c>
      <c r="J33" s="11" t="s">
        <v>14</v>
      </c>
      <c r="K33" s="27" t="s">
        <v>67</v>
      </c>
    </row>
    <row r="34" ht="13.5" customHeight="1">
      <c r="A34" s="12" t="s">
        <v>78</v>
      </c>
      <c r="B34" s="11" t="s">
        <v>14</v>
      </c>
      <c r="C34" s="12" t="s">
        <v>79</v>
      </c>
      <c r="D34" s="11" t="s">
        <v>14</v>
      </c>
      <c r="E34" s="12" t="s">
        <v>79</v>
      </c>
      <c r="F34" s="11" t="s">
        <v>14</v>
      </c>
      <c r="G34" s="12" t="s">
        <v>79</v>
      </c>
      <c r="H34" s="11" t="s">
        <v>14</v>
      </c>
      <c r="I34" s="12" t="s">
        <v>79</v>
      </c>
      <c r="J34" s="11" t="s">
        <v>14</v>
      </c>
      <c r="K34" s="27" t="s">
        <v>67</v>
      </c>
    </row>
    <row r="35" ht="13.5" customHeight="1">
      <c r="A35" s="12" t="s">
        <v>80</v>
      </c>
      <c r="B35" s="11" t="s">
        <v>14</v>
      </c>
      <c r="C35" s="12" t="s">
        <v>81</v>
      </c>
      <c r="D35" s="11" t="s">
        <v>14</v>
      </c>
      <c r="E35" s="12" t="s">
        <v>81</v>
      </c>
      <c r="F35" s="11" t="s">
        <v>14</v>
      </c>
      <c r="G35" s="12" t="s">
        <v>81</v>
      </c>
      <c r="H35" s="11" t="s">
        <v>14</v>
      </c>
      <c r="I35" s="12" t="s">
        <v>81</v>
      </c>
      <c r="J35" s="11" t="s">
        <v>14</v>
      </c>
      <c r="K35" s="27" t="s">
        <v>67</v>
      </c>
    </row>
    <row r="36" ht="13.5" customHeight="1">
      <c r="A36" s="12" t="s">
        <v>82</v>
      </c>
      <c r="B36" s="11" t="s">
        <v>14</v>
      </c>
      <c r="C36" s="12" t="s">
        <v>83</v>
      </c>
      <c r="D36" s="11" t="s">
        <v>14</v>
      </c>
      <c r="E36" s="26" t="s">
        <v>83</v>
      </c>
      <c r="F36" s="11" t="s">
        <v>14</v>
      </c>
      <c r="G36" s="26" t="s">
        <v>83</v>
      </c>
      <c r="H36" s="11" t="s">
        <v>14</v>
      </c>
      <c r="I36" s="26" t="s">
        <v>83</v>
      </c>
      <c r="J36" s="11" t="s">
        <v>14</v>
      </c>
      <c r="K36" s="27" t="s">
        <v>67</v>
      </c>
    </row>
    <row r="37" ht="13.5" customHeight="1">
      <c r="A37" s="12" t="s">
        <v>84</v>
      </c>
      <c r="B37" s="11" t="s">
        <v>14</v>
      </c>
      <c r="C37" s="12" t="s">
        <v>85</v>
      </c>
      <c r="D37" s="11" t="s">
        <v>14</v>
      </c>
      <c r="E37" s="12" t="s">
        <v>85</v>
      </c>
      <c r="F37" s="11" t="s">
        <v>14</v>
      </c>
      <c r="G37" s="12" t="s">
        <v>85</v>
      </c>
      <c r="H37" s="11" t="s">
        <v>14</v>
      </c>
      <c r="I37" s="12" t="s">
        <v>85</v>
      </c>
      <c r="J37" s="11" t="s">
        <v>14</v>
      </c>
      <c r="K37" s="27" t="s">
        <v>67</v>
      </c>
    </row>
    <row r="38" ht="13.5" customHeight="1">
      <c r="A38" s="12" t="s">
        <v>86</v>
      </c>
      <c r="B38" s="11" t="s">
        <v>14</v>
      </c>
      <c r="C38" s="12" t="s">
        <v>87</v>
      </c>
      <c r="D38" s="11" t="s">
        <v>14</v>
      </c>
      <c r="E38" s="12" t="s">
        <v>87</v>
      </c>
      <c r="F38" s="11" t="s">
        <v>14</v>
      </c>
      <c r="G38" s="12" t="s">
        <v>87</v>
      </c>
      <c r="H38" s="11" t="s">
        <v>14</v>
      </c>
      <c r="I38" s="12" t="s">
        <v>87</v>
      </c>
      <c r="J38" s="11" t="s">
        <v>14</v>
      </c>
      <c r="K38" s="27" t="s">
        <v>67</v>
      </c>
    </row>
    <row r="39" ht="13.5" customHeight="1">
      <c r="A39" s="12" t="s">
        <v>88</v>
      </c>
      <c r="B39" s="11" t="s">
        <v>14</v>
      </c>
      <c r="C39" s="12" t="s">
        <v>89</v>
      </c>
      <c r="D39" s="11" t="s">
        <v>14</v>
      </c>
      <c r="E39" s="26" t="s">
        <v>89</v>
      </c>
      <c r="F39" s="11" t="s">
        <v>14</v>
      </c>
      <c r="G39" s="26" t="s">
        <v>89</v>
      </c>
      <c r="H39" s="11" t="s">
        <v>14</v>
      </c>
      <c r="I39" s="26" t="s">
        <v>89</v>
      </c>
      <c r="J39" s="11" t="s">
        <v>14</v>
      </c>
      <c r="K39" s="27" t="s">
        <v>67</v>
      </c>
    </row>
    <row r="40" ht="13.5" customHeight="1">
      <c r="A40" s="12" t="s">
        <v>90</v>
      </c>
      <c r="B40" s="11" t="s">
        <v>14</v>
      </c>
      <c r="C40" s="12" t="s">
        <v>91</v>
      </c>
      <c r="D40" s="11" t="s">
        <v>14</v>
      </c>
      <c r="E40" s="12" t="s">
        <v>91</v>
      </c>
      <c r="F40" s="11" t="s">
        <v>14</v>
      </c>
      <c r="G40" s="12" t="s">
        <v>91</v>
      </c>
      <c r="H40" s="11" t="s">
        <v>14</v>
      </c>
      <c r="I40" s="12" t="s">
        <v>91</v>
      </c>
      <c r="J40" s="11" t="s">
        <v>14</v>
      </c>
      <c r="K40" s="27" t="s">
        <v>67</v>
      </c>
    </row>
    <row r="41" ht="13.5" customHeight="1">
      <c r="A41" s="12" t="s">
        <v>92</v>
      </c>
      <c r="B41" s="11" t="s">
        <v>14</v>
      </c>
      <c r="C41" s="12" t="s">
        <v>93</v>
      </c>
      <c r="D41" s="11" t="s">
        <v>14</v>
      </c>
      <c r="E41" s="12" t="s">
        <v>93</v>
      </c>
      <c r="F41" s="11" t="s">
        <v>14</v>
      </c>
      <c r="G41" s="12" t="s">
        <v>93</v>
      </c>
      <c r="H41" s="11" t="s">
        <v>14</v>
      </c>
      <c r="I41" s="12" t="s">
        <v>93</v>
      </c>
      <c r="J41" s="11" t="s">
        <v>14</v>
      </c>
      <c r="K41" s="27" t="s">
        <v>67</v>
      </c>
    </row>
    <row r="42" ht="13.5" customHeight="1">
      <c r="A42" s="12" t="s">
        <v>94</v>
      </c>
      <c r="B42" s="11" t="s">
        <v>14</v>
      </c>
      <c r="C42" s="12" t="s">
        <v>95</v>
      </c>
      <c r="D42" s="11" t="s">
        <v>14</v>
      </c>
      <c r="E42" s="12" t="s">
        <v>95</v>
      </c>
      <c r="F42" s="11" t="s">
        <v>14</v>
      </c>
      <c r="G42" s="12" t="s">
        <v>95</v>
      </c>
      <c r="H42" s="11" t="s">
        <v>14</v>
      </c>
      <c r="I42" s="12" t="s">
        <v>95</v>
      </c>
      <c r="J42" s="11" t="s">
        <v>14</v>
      </c>
      <c r="K42" s="27" t="s">
        <v>67</v>
      </c>
    </row>
    <row r="43" ht="13.5" customHeight="1">
      <c r="A43" s="12" t="s">
        <v>96</v>
      </c>
      <c r="B43" s="11" t="s">
        <v>14</v>
      </c>
      <c r="C43" s="12" t="s">
        <v>97</v>
      </c>
      <c r="D43" s="11" t="s">
        <v>14</v>
      </c>
      <c r="E43" s="26" t="s">
        <v>97</v>
      </c>
      <c r="F43" s="11" t="s">
        <v>14</v>
      </c>
      <c r="G43" s="26" t="s">
        <v>97</v>
      </c>
      <c r="H43" s="11" t="s">
        <v>14</v>
      </c>
      <c r="I43" s="26"/>
      <c r="J43" s="13" t="s">
        <v>15</v>
      </c>
      <c r="K43" s="27" t="s">
        <v>67</v>
      </c>
    </row>
    <row r="44" ht="13.5" customHeight="1">
      <c r="A44" s="12" t="s">
        <v>98</v>
      </c>
      <c r="B44" s="11" t="s">
        <v>14</v>
      </c>
      <c r="C44" s="12" t="s">
        <v>99</v>
      </c>
      <c r="D44" s="11" t="s">
        <v>14</v>
      </c>
      <c r="E44" s="12" t="s">
        <v>99</v>
      </c>
      <c r="F44" s="11" t="s">
        <v>14</v>
      </c>
      <c r="G44" s="12" t="s">
        <v>99</v>
      </c>
      <c r="H44" s="11" t="s">
        <v>14</v>
      </c>
      <c r="I44" s="12" t="s">
        <v>99</v>
      </c>
      <c r="J44" s="11" t="s">
        <v>14</v>
      </c>
      <c r="K44" s="27" t="s">
        <v>67</v>
      </c>
    </row>
    <row r="45" ht="13.5" customHeight="1">
      <c r="A45" s="12" t="s">
        <v>100</v>
      </c>
      <c r="B45" s="11" t="s">
        <v>14</v>
      </c>
      <c r="C45" s="12" t="s">
        <v>101</v>
      </c>
      <c r="D45" s="11" t="s">
        <v>14</v>
      </c>
      <c r="E45" s="12" t="s">
        <v>101</v>
      </c>
      <c r="F45" s="11" t="s">
        <v>14</v>
      </c>
      <c r="G45" s="12" t="s">
        <v>101</v>
      </c>
      <c r="H45" s="11" t="s">
        <v>14</v>
      </c>
      <c r="I45" s="12" t="s">
        <v>101</v>
      </c>
      <c r="J45" s="11" t="s">
        <v>14</v>
      </c>
      <c r="K45" s="27" t="s">
        <v>67</v>
      </c>
    </row>
    <row r="46" ht="13.5" customHeight="1">
      <c r="A46" s="12" t="s">
        <v>102</v>
      </c>
      <c r="B46" s="11" t="s">
        <v>14</v>
      </c>
      <c r="C46" s="12" t="s">
        <v>103</v>
      </c>
      <c r="D46" s="11" t="s">
        <v>14</v>
      </c>
      <c r="E46" s="12" t="s">
        <v>103</v>
      </c>
      <c r="F46" s="11" t="s">
        <v>14</v>
      </c>
      <c r="G46" s="12"/>
      <c r="H46" s="13" t="s">
        <v>15</v>
      </c>
      <c r="I46" s="12" t="s">
        <v>103</v>
      </c>
      <c r="J46" s="11" t="s">
        <v>14</v>
      </c>
      <c r="K46" s="27" t="s">
        <v>67</v>
      </c>
    </row>
    <row r="47" ht="13.5" customHeight="1">
      <c r="A47" s="12" t="s">
        <v>104</v>
      </c>
      <c r="B47" s="11" t="s">
        <v>14</v>
      </c>
      <c r="C47" s="12" t="s">
        <v>105</v>
      </c>
      <c r="D47" s="11" t="s">
        <v>14</v>
      </c>
      <c r="E47" s="12" t="s">
        <v>105</v>
      </c>
      <c r="F47" s="11" t="s">
        <v>14</v>
      </c>
      <c r="G47" s="12"/>
      <c r="H47" s="13" t="s">
        <v>15</v>
      </c>
      <c r="I47" s="12" t="s">
        <v>105</v>
      </c>
      <c r="J47" s="11" t="s">
        <v>14</v>
      </c>
      <c r="K47" s="27" t="s">
        <v>67</v>
      </c>
    </row>
    <row r="48" ht="13.5" customHeight="1">
      <c r="A48" s="12" t="s">
        <v>106</v>
      </c>
      <c r="B48" s="11" t="s">
        <v>14</v>
      </c>
      <c r="C48" s="12" t="s">
        <v>107</v>
      </c>
      <c r="D48" s="11" t="s">
        <v>14</v>
      </c>
      <c r="E48" s="12" t="s">
        <v>107</v>
      </c>
      <c r="F48" s="11" t="s">
        <v>14</v>
      </c>
      <c r="G48" s="12"/>
      <c r="H48" s="13" t="s">
        <v>15</v>
      </c>
      <c r="I48" s="12" t="s">
        <v>107</v>
      </c>
      <c r="J48" s="11" t="s">
        <v>14</v>
      </c>
      <c r="K48" s="27" t="s">
        <v>67</v>
      </c>
    </row>
    <row r="49" ht="13.5" customHeight="1">
      <c r="A49" s="12" t="s">
        <v>108</v>
      </c>
      <c r="B49" s="11" t="s">
        <v>14</v>
      </c>
      <c r="C49" s="12" t="s">
        <v>109</v>
      </c>
      <c r="D49" s="11" t="s">
        <v>14</v>
      </c>
      <c r="E49" s="12" t="s">
        <v>109</v>
      </c>
      <c r="F49" s="11" t="s">
        <v>14</v>
      </c>
      <c r="G49" s="12"/>
      <c r="H49" s="13" t="s">
        <v>15</v>
      </c>
      <c r="I49" s="12" t="s">
        <v>109</v>
      </c>
      <c r="J49" s="11" t="s">
        <v>14</v>
      </c>
      <c r="K49" s="27" t="s">
        <v>67</v>
      </c>
    </row>
    <row r="50" ht="13.5" customHeight="1">
      <c r="A50" s="12" t="s">
        <v>110</v>
      </c>
      <c r="B50" s="11" t="s">
        <v>14</v>
      </c>
      <c r="C50" s="12" t="s">
        <v>111</v>
      </c>
      <c r="D50" s="11" t="s">
        <v>14</v>
      </c>
      <c r="E50" s="12" t="s">
        <v>111</v>
      </c>
      <c r="F50" s="11" t="s">
        <v>14</v>
      </c>
      <c r="G50" s="12"/>
      <c r="H50" s="13" t="s">
        <v>15</v>
      </c>
      <c r="I50" s="12"/>
      <c r="J50" s="13" t="s">
        <v>15</v>
      </c>
      <c r="K50" s="27" t="s">
        <v>67</v>
      </c>
    </row>
    <row r="51" ht="13.5" customHeight="1">
      <c r="A51" s="12" t="s">
        <v>112</v>
      </c>
      <c r="B51" s="11" t="s">
        <v>14</v>
      </c>
      <c r="C51" s="12" t="s">
        <v>113</v>
      </c>
      <c r="D51" s="11" t="s">
        <v>14</v>
      </c>
      <c r="E51" s="12" t="s">
        <v>113</v>
      </c>
      <c r="F51" s="11" t="s">
        <v>14</v>
      </c>
      <c r="G51" s="12"/>
      <c r="H51" s="13" t="s">
        <v>15</v>
      </c>
      <c r="I51" s="12" t="s">
        <v>113</v>
      </c>
      <c r="J51" s="11" t="s">
        <v>14</v>
      </c>
      <c r="K51" s="27" t="s">
        <v>67</v>
      </c>
    </row>
    <row r="52" ht="13.5" customHeight="1">
      <c r="A52" s="12" t="s">
        <v>114</v>
      </c>
      <c r="B52" s="11" t="s">
        <v>14</v>
      </c>
      <c r="C52" s="12" t="s">
        <v>115</v>
      </c>
      <c r="D52" s="11" t="s">
        <v>14</v>
      </c>
      <c r="E52" s="12" t="s">
        <v>115</v>
      </c>
      <c r="F52" s="11" t="s">
        <v>14</v>
      </c>
      <c r="G52" s="12"/>
      <c r="H52" s="13" t="s">
        <v>15</v>
      </c>
      <c r="I52" s="12" t="s">
        <v>115</v>
      </c>
      <c r="J52" s="11" t="s">
        <v>14</v>
      </c>
      <c r="K52" s="27" t="s">
        <v>67</v>
      </c>
    </row>
    <row r="53" ht="13.5" customHeight="1">
      <c r="A53" s="12" t="s">
        <v>116</v>
      </c>
      <c r="B53" s="11" t="s">
        <v>14</v>
      </c>
      <c r="C53" s="12" t="s">
        <v>117</v>
      </c>
      <c r="D53" s="11" t="s">
        <v>14</v>
      </c>
      <c r="E53" s="12" t="s">
        <v>117</v>
      </c>
      <c r="F53" s="11" t="s">
        <v>14</v>
      </c>
      <c r="G53" s="12"/>
      <c r="H53" s="13" t="s">
        <v>15</v>
      </c>
      <c r="I53" s="12" t="s">
        <v>117</v>
      </c>
      <c r="J53" s="11" t="s">
        <v>14</v>
      </c>
      <c r="K53" s="27" t="s">
        <v>67</v>
      </c>
    </row>
    <row r="54" ht="13.5" customHeight="1">
      <c r="A54" s="26" t="s">
        <v>118</v>
      </c>
      <c r="B54" s="11" t="s">
        <v>14</v>
      </c>
      <c r="C54" s="26" t="s">
        <v>119</v>
      </c>
      <c r="D54" s="11" t="s">
        <v>14</v>
      </c>
      <c r="E54" s="12" t="s">
        <v>120</v>
      </c>
      <c r="F54" s="11" t="s">
        <v>14</v>
      </c>
      <c r="G54" s="28" t="s">
        <v>119</v>
      </c>
      <c r="H54" s="11" t="s">
        <v>14</v>
      </c>
      <c r="I54" s="12"/>
      <c r="J54" s="13" t="s">
        <v>15</v>
      </c>
      <c r="K54" s="27" t="s">
        <v>67</v>
      </c>
    </row>
    <row r="55" ht="13.5" customHeight="1">
      <c r="A55" s="12" t="s">
        <v>121</v>
      </c>
      <c r="B55" s="11" t="s">
        <v>14</v>
      </c>
      <c r="C55" s="12" t="s">
        <v>122</v>
      </c>
      <c r="D55" s="11" t="s">
        <v>14</v>
      </c>
      <c r="E55" s="12" t="s">
        <v>122</v>
      </c>
      <c r="F55" s="11" t="s">
        <v>14</v>
      </c>
      <c r="G55" s="12" t="s">
        <v>122</v>
      </c>
      <c r="H55" s="11" t="s">
        <v>14</v>
      </c>
      <c r="I55" s="12" t="s">
        <v>122</v>
      </c>
      <c r="J55" s="11" t="s">
        <v>14</v>
      </c>
      <c r="K55" s="27" t="s">
        <v>67</v>
      </c>
    </row>
    <row r="56" ht="13.5" customHeight="1">
      <c r="A56" s="12" t="s">
        <v>123</v>
      </c>
      <c r="B56" s="11" t="s">
        <v>14</v>
      </c>
      <c r="C56" s="12" t="s">
        <v>124</v>
      </c>
      <c r="D56" s="11" t="s">
        <v>14</v>
      </c>
      <c r="E56" s="12" t="s">
        <v>124</v>
      </c>
      <c r="F56" s="11" t="s">
        <v>14</v>
      </c>
      <c r="G56" s="12" t="s">
        <v>124</v>
      </c>
      <c r="H56" s="11" t="s">
        <v>14</v>
      </c>
      <c r="I56" s="12" t="s">
        <v>124</v>
      </c>
      <c r="J56" s="11" t="s">
        <v>14</v>
      </c>
      <c r="K56" s="27" t="s">
        <v>67</v>
      </c>
    </row>
    <row r="57" ht="13.5" customHeight="1">
      <c r="A57" s="12" t="s">
        <v>125</v>
      </c>
      <c r="B57" s="11" t="s">
        <v>14</v>
      </c>
      <c r="C57" s="12" t="s">
        <v>89</v>
      </c>
      <c r="D57" s="11" t="s">
        <v>14</v>
      </c>
      <c r="E57" s="12" t="s">
        <v>89</v>
      </c>
      <c r="F57" s="11" t="s">
        <v>14</v>
      </c>
      <c r="G57" s="12" t="s">
        <v>89</v>
      </c>
      <c r="H57" s="11" t="s">
        <v>14</v>
      </c>
      <c r="I57" s="28" t="s">
        <v>126</v>
      </c>
      <c r="J57" s="11" t="s">
        <v>14</v>
      </c>
      <c r="K57" s="27" t="s">
        <v>67</v>
      </c>
    </row>
    <row r="58" ht="13.5" customHeight="1">
      <c r="A58" s="12" t="s">
        <v>127</v>
      </c>
      <c r="B58" s="11" t="s">
        <v>14</v>
      </c>
      <c r="C58" s="12" t="s">
        <v>95</v>
      </c>
      <c r="D58" s="11" t="s">
        <v>14</v>
      </c>
      <c r="E58" s="12" t="s">
        <v>95</v>
      </c>
      <c r="F58" s="11" t="s">
        <v>14</v>
      </c>
      <c r="G58" s="12" t="s">
        <v>95</v>
      </c>
      <c r="H58" s="11" t="s">
        <v>14</v>
      </c>
      <c r="I58" s="28" t="s">
        <v>128</v>
      </c>
      <c r="J58" s="11" t="s">
        <v>14</v>
      </c>
      <c r="K58" s="27" t="s">
        <v>67</v>
      </c>
    </row>
    <row r="59" ht="13.5" customHeight="1">
      <c r="A59" s="12" t="s">
        <v>129</v>
      </c>
      <c r="B59" s="11" t="s">
        <v>14</v>
      </c>
      <c r="C59" s="12" t="s">
        <v>129</v>
      </c>
      <c r="D59" s="11" t="s">
        <v>14</v>
      </c>
      <c r="E59" s="26" t="s">
        <v>129</v>
      </c>
      <c r="F59" s="11" t="s">
        <v>14</v>
      </c>
      <c r="G59" s="26"/>
      <c r="H59" s="13" t="s">
        <v>15</v>
      </c>
      <c r="I59" s="26"/>
      <c r="J59" s="13" t="s">
        <v>15</v>
      </c>
      <c r="K59" s="27" t="s">
        <v>67</v>
      </c>
    </row>
    <row r="60" ht="13.5" customHeight="1">
      <c r="A60" s="12" t="s">
        <v>130</v>
      </c>
      <c r="B60" s="11" t="s">
        <v>14</v>
      </c>
      <c r="C60" s="12" t="s">
        <v>130</v>
      </c>
      <c r="D60" s="11" t="s">
        <v>14</v>
      </c>
      <c r="E60" s="26" t="s">
        <v>130</v>
      </c>
      <c r="F60" s="11" t="s">
        <v>14</v>
      </c>
      <c r="G60" s="26"/>
      <c r="H60" s="13" t="s">
        <v>15</v>
      </c>
      <c r="I60" s="26"/>
      <c r="J60" s="13" t="s">
        <v>15</v>
      </c>
      <c r="K60" s="27" t="s">
        <v>67</v>
      </c>
    </row>
    <row r="61" ht="13.5" customHeight="1"/>
    <row r="62" ht="13.5" customHeight="1">
      <c r="A62" s="20" t="s">
        <v>131</v>
      </c>
      <c r="B62" s="7">
        <f>COUNTIF(B63:B66,"YES*")</f>
        <v>0</v>
      </c>
      <c r="C62" s="7"/>
      <c r="D62" s="7">
        <f>COUNTIF(D63:D66,"YES*")</f>
        <v>0</v>
      </c>
      <c r="E62" s="7"/>
      <c r="F62" s="7">
        <f>COUNTIF(F63:F66,"YES*")</f>
        <v>0</v>
      </c>
      <c r="G62" s="7"/>
      <c r="H62" s="7">
        <f>COUNTIF(H63:H66,"YES*")</f>
        <v>0</v>
      </c>
      <c r="I62" s="7"/>
      <c r="J62" s="7">
        <f>COUNTIF(J63:J66,"YES*")</f>
        <v>0</v>
      </c>
    </row>
    <row r="63" ht="13.5" customHeight="1">
      <c r="A63" s="12" t="s">
        <v>132</v>
      </c>
      <c r="B63" s="11" t="s">
        <v>133</v>
      </c>
      <c r="D63" s="13" t="s">
        <v>15</v>
      </c>
      <c r="F63" s="13" t="s">
        <v>15</v>
      </c>
      <c r="H63" s="13" t="s">
        <v>15</v>
      </c>
      <c r="J63" s="13" t="s">
        <v>15</v>
      </c>
      <c r="K63" s="22" t="s">
        <v>134</v>
      </c>
    </row>
    <row r="64" ht="13.5" customHeight="1">
      <c r="A64" s="12" t="s">
        <v>135</v>
      </c>
      <c r="B64" s="11" t="s">
        <v>133</v>
      </c>
      <c r="D64" s="13" t="s">
        <v>15</v>
      </c>
      <c r="F64" s="13" t="s">
        <v>15</v>
      </c>
      <c r="H64" s="13" t="s">
        <v>15</v>
      </c>
      <c r="J64" s="13" t="s">
        <v>15</v>
      </c>
      <c r="K64" s="22" t="s">
        <v>134</v>
      </c>
    </row>
    <row r="65" ht="13.5" customHeight="1">
      <c r="A65" s="12" t="s">
        <v>136</v>
      </c>
      <c r="B65" s="11" t="s">
        <v>133</v>
      </c>
      <c r="D65" s="13" t="s">
        <v>15</v>
      </c>
      <c r="F65" s="13" t="s">
        <v>15</v>
      </c>
      <c r="H65" s="13" t="s">
        <v>15</v>
      </c>
      <c r="J65" s="13" t="s">
        <v>15</v>
      </c>
      <c r="K65" s="22" t="s">
        <v>134</v>
      </c>
    </row>
    <row r="66" ht="13.5" customHeight="1">
      <c r="A66" s="12" t="s">
        <v>137</v>
      </c>
      <c r="B66" s="11" t="s">
        <v>133</v>
      </c>
      <c r="D66" s="13" t="s">
        <v>15</v>
      </c>
      <c r="F66" s="13" t="s">
        <v>15</v>
      </c>
      <c r="H66" s="13" t="s">
        <v>15</v>
      </c>
      <c r="J66" s="13" t="s">
        <v>15</v>
      </c>
      <c r="K66" s="22" t="s">
        <v>134</v>
      </c>
    </row>
    <row r="67" ht="13.5" customHeight="1">
      <c r="A67" s="12"/>
      <c r="B67" s="19"/>
      <c r="D67" s="12"/>
    </row>
    <row r="68" ht="13.5" customHeight="1">
      <c r="A68" s="20" t="s">
        <v>138</v>
      </c>
      <c r="B68" s="7">
        <f>COUNTIF(B69:B72,"YES**")</f>
        <v>0</v>
      </c>
      <c r="C68" s="7"/>
      <c r="D68" s="7">
        <f>COUNTIF(D69:D72,"YES**")</f>
        <v>0</v>
      </c>
      <c r="E68" s="7"/>
      <c r="F68" s="7">
        <f>COUNTIF(F69:F72,"YES**")</f>
        <v>0</v>
      </c>
      <c r="G68" s="7"/>
      <c r="H68" s="7">
        <f>COUNTIF(H69:H72,"YES**")</f>
        <v>0</v>
      </c>
      <c r="I68" s="7"/>
      <c r="J68" s="7">
        <f>COUNTIF(J69:J72,"YES**")</f>
        <v>0</v>
      </c>
    </row>
    <row r="69" ht="13.5" customHeight="1">
      <c r="A69" s="12" t="s">
        <v>139</v>
      </c>
      <c r="B69" s="11" t="s">
        <v>133</v>
      </c>
      <c r="D69" s="13" t="s">
        <v>15</v>
      </c>
      <c r="F69" s="13" t="s">
        <v>15</v>
      </c>
      <c r="H69" s="13" t="s">
        <v>15</v>
      </c>
      <c r="J69" s="13" t="s">
        <v>15</v>
      </c>
      <c r="K69" s="25" t="s">
        <v>140</v>
      </c>
    </row>
    <row r="70" ht="13.5" customHeight="1">
      <c r="A70" s="12" t="s">
        <v>141</v>
      </c>
      <c r="B70" s="11" t="s">
        <v>133</v>
      </c>
      <c r="D70" s="13" t="s">
        <v>15</v>
      </c>
      <c r="F70" s="13" t="s">
        <v>15</v>
      </c>
      <c r="H70" s="13" t="s">
        <v>15</v>
      </c>
      <c r="J70" s="13" t="s">
        <v>15</v>
      </c>
      <c r="K70" s="25" t="s">
        <v>140</v>
      </c>
    </row>
    <row r="71" ht="13.5" customHeight="1">
      <c r="A71" s="12" t="s">
        <v>142</v>
      </c>
      <c r="B71" s="11" t="s">
        <v>133</v>
      </c>
      <c r="D71" s="13" t="s">
        <v>15</v>
      </c>
      <c r="F71" s="13" t="s">
        <v>15</v>
      </c>
      <c r="H71" s="13" t="s">
        <v>15</v>
      </c>
      <c r="J71" s="13" t="s">
        <v>15</v>
      </c>
      <c r="K71" s="25" t="s">
        <v>140</v>
      </c>
    </row>
    <row r="72" ht="13.5" customHeight="1">
      <c r="A72" s="12"/>
      <c r="B72" s="19"/>
      <c r="D72" s="12"/>
    </row>
    <row r="73" ht="13.5" customHeight="1">
      <c r="A73" s="7" t="s">
        <v>143</v>
      </c>
    </row>
    <row r="74" ht="13.5" customHeight="1">
      <c r="A74" s="12"/>
      <c r="B74" s="13" t="s">
        <v>15</v>
      </c>
      <c r="C74" s="12"/>
      <c r="D74" s="13" t="s">
        <v>15</v>
      </c>
      <c r="E74" s="12" t="s">
        <v>144</v>
      </c>
      <c r="F74" s="11" t="s">
        <v>14</v>
      </c>
      <c r="G74" s="12"/>
      <c r="H74" s="13" t="s">
        <v>15</v>
      </c>
      <c r="I74" s="12"/>
      <c r="J74" s="13" t="s">
        <v>15</v>
      </c>
      <c r="K74" s="27" t="s">
        <v>67</v>
      </c>
    </row>
    <row r="75" ht="13.5" customHeight="1">
      <c r="B75" s="13" t="s">
        <v>15</v>
      </c>
      <c r="D75" s="13" t="s">
        <v>15</v>
      </c>
      <c r="F75" s="13" t="s">
        <v>15</v>
      </c>
      <c r="G75" s="29" t="s">
        <v>145</v>
      </c>
      <c r="H75" s="11" t="s">
        <v>14</v>
      </c>
      <c r="J75" s="13" t="s">
        <v>15</v>
      </c>
    </row>
    <row r="76" ht="13.5" customHeight="1">
      <c r="B76" s="13" t="s">
        <v>15</v>
      </c>
      <c r="D76" s="13" t="s">
        <v>15</v>
      </c>
      <c r="F76" s="13" t="s">
        <v>15</v>
      </c>
      <c r="G76" s="29" t="s">
        <v>146</v>
      </c>
      <c r="H76" s="11" t="s">
        <v>14</v>
      </c>
      <c r="J76" s="13" t="s">
        <v>15</v>
      </c>
    </row>
    <row r="77" ht="13.5" customHeight="1">
      <c r="B77" s="13" t="s">
        <v>15</v>
      </c>
      <c r="D77" s="13" t="s">
        <v>15</v>
      </c>
      <c r="F77" s="13" t="s">
        <v>15</v>
      </c>
      <c r="G77" s="29" t="s">
        <v>147</v>
      </c>
      <c r="H77" s="11" t="s">
        <v>14</v>
      </c>
      <c r="J77" s="13" t="s">
        <v>15</v>
      </c>
    </row>
    <row r="78" ht="13.5" customHeight="1">
      <c r="B78" s="13" t="s">
        <v>15</v>
      </c>
      <c r="D78" s="13" t="s">
        <v>15</v>
      </c>
      <c r="F78" s="13" t="s">
        <v>15</v>
      </c>
      <c r="G78" s="29" t="s">
        <v>148</v>
      </c>
      <c r="H78" s="11" t="s">
        <v>14</v>
      </c>
      <c r="J78" s="13" t="s">
        <v>15</v>
      </c>
    </row>
    <row r="79" ht="13.5" customHeight="1">
      <c r="B79" s="13" t="s">
        <v>15</v>
      </c>
      <c r="D79" s="13" t="s">
        <v>15</v>
      </c>
      <c r="F79" s="13" t="s">
        <v>15</v>
      </c>
      <c r="H79" s="13" t="s">
        <v>15</v>
      </c>
      <c r="I79" s="29" t="s">
        <v>149</v>
      </c>
      <c r="J79" s="11" t="s">
        <v>14</v>
      </c>
    </row>
    <row r="80" ht="13.5" customHeight="1">
      <c r="B80" s="13" t="s">
        <v>15</v>
      </c>
      <c r="D80" s="13" t="s">
        <v>15</v>
      </c>
      <c r="F80" s="13" t="s">
        <v>15</v>
      </c>
      <c r="H80" s="13" t="s">
        <v>15</v>
      </c>
      <c r="I80" s="29" t="s">
        <v>150</v>
      </c>
      <c r="J80" s="11" t="s">
        <v>14</v>
      </c>
    </row>
    <row r="81" ht="13.5" customHeight="1">
      <c r="B81" s="13" t="s">
        <v>15</v>
      </c>
      <c r="D81" s="13" t="s">
        <v>15</v>
      </c>
      <c r="F81" s="13" t="s">
        <v>15</v>
      </c>
      <c r="H81" s="13" t="s">
        <v>15</v>
      </c>
      <c r="I81" s="29" t="s">
        <v>151</v>
      </c>
      <c r="J81" s="11" t="s">
        <v>14</v>
      </c>
    </row>
    <row r="82" ht="13.5" customHeight="1">
      <c r="B82" s="19"/>
    </row>
    <row r="83" ht="13.5" customHeight="1">
      <c r="B83" s="19"/>
    </row>
    <row r="84" ht="13.5" customHeight="1">
      <c r="B84" s="19"/>
      <c r="I84" s="30" t="s">
        <v>152</v>
      </c>
      <c r="M84" s="30"/>
    </row>
    <row r="85" ht="13.5" customHeight="1">
      <c r="B85" s="19"/>
    </row>
    <row r="86" ht="13.5" customHeight="1">
      <c r="B86" s="19"/>
    </row>
    <row r="87" ht="13.5" customHeight="1">
      <c r="B87" s="19"/>
    </row>
    <row r="88" ht="13.5" customHeight="1">
      <c r="B88" s="19"/>
    </row>
    <row r="89" ht="13.5" customHeight="1">
      <c r="B89" s="19"/>
    </row>
    <row r="90" ht="13.5" customHeight="1">
      <c r="B90" s="19"/>
      <c r="I90" s="30" t="s">
        <v>153</v>
      </c>
      <c r="M90" s="30"/>
    </row>
    <row r="91" ht="13.5" customHeight="1">
      <c r="B91" s="19"/>
    </row>
    <row r="92" ht="13.5" customHeight="1">
      <c r="B92" s="19"/>
    </row>
    <row r="93" ht="13.5" customHeight="1">
      <c r="B93" s="19"/>
    </row>
    <row r="94" ht="13.5" customHeight="1">
      <c r="B94" s="19"/>
    </row>
    <row r="95" ht="13.5" customHeight="1">
      <c r="B95" s="19"/>
    </row>
    <row r="96" ht="13.5" customHeight="1">
      <c r="B96" s="19"/>
    </row>
    <row r="97" ht="13.5" customHeight="1">
      <c r="B97" s="19"/>
    </row>
    <row r="98" ht="13.5" customHeight="1">
      <c r="B98" s="19"/>
    </row>
    <row r="99" ht="13.5" customHeight="1">
      <c r="B99" s="19"/>
    </row>
    <row r="100" ht="13.5" customHeight="1">
      <c r="B100" s="19"/>
    </row>
    <row r="101" ht="13.5" customHeight="1">
      <c r="B101" s="19"/>
    </row>
    <row r="102" ht="13.5" customHeight="1">
      <c r="B102" s="19"/>
    </row>
    <row r="103" ht="13.5" customHeight="1">
      <c r="B103" s="19"/>
    </row>
    <row r="104" ht="13.5" customHeight="1">
      <c r="B104" s="19"/>
    </row>
    <row r="105" ht="13.5" customHeight="1">
      <c r="B105" s="19"/>
    </row>
    <row r="106" ht="13.5" customHeight="1">
      <c r="B106" s="19"/>
    </row>
    <row r="107" ht="13.5" customHeight="1">
      <c r="B107" s="19"/>
    </row>
    <row r="108" ht="13.5" customHeight="1">
      <c r="B108" s="19"/>
    </row>
    <row r="109" ht="13.5" customHeight="1">
      <c r="B109" s="19"/>
    </row>
    <row r="110" ht="13.5" customHeight="1">
      <c r="B110" s="19"/>
    </row>
    <row r="111" ht="13.5" customHeight="1">
      <c r="B111" s="19"/>
    </row>
    <row r="112" ht="13.5" customHeight="1">
      <c r="B112" s="19"/>
    </row>
    <row r="113" ht="13.5" customHeight="1">
      <c r="B113" s="19"/>
    </row>
    <row r="114" ht="13.5" customHeight="1">
      <c r="B114" s="19"/>
    </row>
    <row r="115" ht="13.5" customHeight="1">
      <c r="B115" s="19"/>
    </row>
    <row r="116" ht="13.5" customHeight="1">
      <c r="B116" s="19"/>
    </row>
    <row r="117" ht="13.5" customHeight="1">
      <c r="B117" s="19"/>
    </row>
    <row r="118" ht="13.5" customHeight="1">
      <c r="B118" s="19"/>
    </row>
    <row r="119" ht="13.5" customHeight="1">
      <c r="B119" s="19"/>
    </row>
    <row r="120" ht="13.5" customHeight="1">
      <c r="B120" s="19"/>
    </row>
    <row r="121" ht="13.5" customHeight="1">
      <c r="B121" s="19"/>
    </row>
    <row r="122" ht="13.5" customHeight="1">
      <c r="B122" s="19"/>
    </row>
    <row r="123" ht="13.5" customHeight="1">
      <c r="B123" s="19"/>
    </row>
    <row r="124" ht="13.5" customHeight="1">
      <c r="B124" s="19"/>
    </row>
    <row r="125" ht="13.5" customHeight="1">
      <c r="B125" s="19"/>
    </row>
    <row r="126" ht="13.5" customHeight="1">
      <c r="B126" s="19"/>
    </row>
    <row r="127" ht="13.5" customHeight="1">
      <c r="B127" s="19"/>
    </row>
    <row r="128" ht="13.5" customHeight="1">
      <c r="B128" s="19"/>
    </row>
    <row r="129" ht="13.5" customHeight="1">
      <c r="B129" s="19"/>
    </row>
    <row r="130" ht="13.5" customHeight="1">
      <c r="B130" s="19"/>
    </row>
    <row r="131" ht="13.5" customHeight="1">
      <c r="B131" s="19"/>
    </row>
    <row r="132" ht="13.5" customHeight="1">
      <c r="B132" s="19"/>
    </row>
    <row r="133" ht="13.5" customHeight="1">
      <c r="B133" s="19"/>
    </row>
    <row r="134" ht="13.5" customHeight="1">
      <c r="B134" s="19"/>
    </row>
    <row r="135" ht="13.5" customHeight="1">
      <c r="B135" s="19"/>
    </row>
    <row r="136" ht="13.5" customHeight="1">
      <c r="B136" s="19"/>
    </row>
    <row r="137" ht="13.5" customHeight="1">
      <c r="B137" s="19"/>
    </row>
    <row r="138" ht="13.5" customHeight="1">
      <c r="B138" s="19"/>
    </row>
    <row r="139" ht="13.5" customHeight="1">
      <c r="B139" s="19"/>
    </row>
    <row r="140" ht="13.5" customHeight="1">
      <c r="B140" s="19"/>
    </row>
    <row r="141" ht="13.5" customHeight="1">
      <c r="B141" s="19"/>
    </row>
    <row r="142" ht="13.5" customHeight="1">
      <c r="B142" s="19"/>
    </row>
    <row r="143" ht="13.5" customHeight="1">
      <c r="B143" s="19"/>
    </row>
    <row r="144" ht="13.5" customHeight="1">
      <c r="B144" s="19"/>
    </row>
    <row r="145" ht="13.5" customHeight="1">
      <c r="B145" s="19"/>
    </row>
    <row r="146" ht="13.5" customHeight="1">
      <c r="B146" s="19"/>
    </row>
    <row r="147" ht="13.5" customHeight="1">
      <c r="B147" s="19"/>
    </row>
    <row r="148" ht="13.5" customHeight="1">
      <c r="B148" s="19"/>
    </row>
    <row r="149" ht="13.5" customHeight="1">
      <c r="B149" s="19"/>
    </row>
    <row r="150" ht="13.5" customHeight="1">
      <c r="B150" s="19"/>
    </row>
    <row r="151" ht="13.5" customHeight="1">
      <c r="B151" s="19"/>
    </row>
    <row r="152" ht="13.5" customHeight="1">
      <c r="B152" s="19"/>
    </row>
    <row r="153" ht="13.5" customHeight="1">
      <c r="B153" s="19"/>
    </row>
    <row r="154" ht="13.5" customHeight="1">
      <c r="B154" s="19"/>
    </row>
    <row r="155" ht="13.5" customHeight="1">
      <c r="B155" s="19"/>
    </row>
    <row r="156" ht="13.5" customHeight="1">
      <c r="B156" s="19"/>
    </row>
    <row r="157" ht="13.5" customHeight="1">
      <c r="B157" s="19"/>
    </row>
    <row r="158" ht="13.5" customHeight="1">
      <c r="B158" s="19"/>
    </row>
    <row r="159" ht="13.5" customHeight="1">
      <c r="B159" s="19"/>
    </row>
    <row r="160" ht="13.5" customHeight="1">
      <c r="B160" s="19"/>
    </row>
    <row r="161" ht="13.5" customHeight="1">
      <c r="B161" s="19"/>
    </row>
    <row r="162" ht="13.5" customHeight="1">
      <c r="B162" s="19"/>
    </row>
    <row r="163" ht="13.5" customHeight="1">
      <c r="B163" s="19"/>
    </row>
    <row r="164" ht="13.5" customHeight="1">
      <c r="B164" s="19"/>
    </row>
    <row r="165" ht="13.5" customHeight="1">
      <c r="B165" s="19"/>
    </row>
    <row r="166" ht="13.5" customHeight="1">
      <c r="B166" s="19"/>
    </row>
    <row r="167" ht="13.5" customHeight="1">
      <c r="B167" s="19"/>
    </row>
    <row r="168" ht="13.5" customHeight="1">
      <c r="B168" s="19"/>
    </row>
    <row r="169" ht="13.5" customHeight="1">
      <c r="B169" s="19"/>
    </row>
    <row r="170" ht="13.5" customHeight="1">
      <c r="B170" s="19"/>
    </row>
    <row r="171" ht="13.5" customHeight="1">
      <c r="B171" s="19"/>
    </row>
    <row r="172" ht="13.5" customHeight="1">
      <c r="B172" s="19"/>
    </row>
    <row r="173" ht="13.5" customHeight="1">
      <c r="B173" s="19"/>
    </row>
    <row r="174" ht="13.5" customHeight="1">
      <c r="B174" s="19"/>
    </row>
    <row r="175" ht="13.5" customHeight="1">
      <c r="B175" s="19"/>
    </row>
    <row r="176" ht="13.5" customHeight="1">
      <c r="B176" s="19"/>
    </row>
    <row r="177" ht="13.5" customHeight="1">
      <c r="B177" s="19"/>
    </row>
    <row r="178" ht="13.5" customHeight="1">
      <c r="B178" s="19"/>
    </row>
    <row r="179" ht="13.5" customHeight="1">
      <c r="B179" s="19"/>
    </row>
    <row r="180" ht="13.5" customHeight="1">
      <c r="B180" s="19"/>
    </row>
    <row r="181" ht="13.5" customHeight="1">
      <c r="B181" s="19"/>
    </row>
    <row r="182" ht="13.5" customHeight="1">
      <c r="B182" s="19"/>
    </row>
    <row r="183" ht="13.5" customHeight="1">
      <c r="B183" s="19"/>
    </row>
    <row r="184" ht="13.5" customHeight="1">
      <c r="B184" s="19"/>
    </row>
    <row r="185" ht="13.5" customHeight="1">
      <c r="B185" s="19"/>
    </row>
    <row r="186" ht="13.5" customHeight="1">
      <c r="B186" s="19"/>
    </row>
    <row r="187" ht="13.5" customHeight="1">
      <c r="B187" s="19"/>
    </row>
    <row r="188" ht="13.5" customHeight="1">
      <c r="B188" s="19"/>
    </row>
    <row r="189" ht="13.5" customHeight="1">
      <c r="B189" s="19"/>
    </row>
    <row r="190" ht="13.5" customHeight="1">
      <c r="B190" s="19"/>
    </row>
    <row r="191" ht="13.5" customHeight="1">
      <c r="B191" s="19"/>
    </row>
    <row r="192" ht="13.5" customHeight="1">
      <c r="B192" s="19"/>
    </row>
    <row r="193" ht="13.5" customHeight="1">
      <c r="B193" s="19"/>
    </row>
    <row r="194" ht="13.5" customHeight="1">
      <c r="B194" s="19"/>
    </row>
    <row r="195" ht="13.5" customHeight="1">
      <c r="B195" s="19"/>
    </row>
    <row r="196" ht="13.5" customHeight="1">
      <c r="B196" s="19"/>
    </row>
    <row r="197" ht="13.5" customHeight="1">
      <c r="B197" s="19"/>
    </row>
    <row r="198" ht="13.5" customHeight="1">
      <c r="B198" s="19"/>
    </row>
    <row r="199" ht="13.5" customHeight="1">
      <c r="B199" s="19"/>
    </row>
    <row r="200" ht="13.5" customHeight="1">
      <c r="B200" s="19"/>
    </row>
    <row r="201" ht="13.5" customHeight="1">
      <c r="B201" s="19"/>
    </row>
    <row r="202" ht="13.5" customHeight="1">
      <c r="B202" s="19"/>
    </row>
    <row r="203" ht="13.5" customHeight="1">
      <c r="B203" s="19"/>
    </row>
    <row r="204" ht="13.5" customHeight="1">
      <c r="B204" s="19"/>
    </row>
    <row r="205" ht="13.5" customHeight="1">
      <c r="B205" s="19"/>
    </row>
    <row r="206" ht="13.5" customHeight="1">
      <c r="B206" s="19"/>
    </row>
    <row r="207" ht="13.5" customHeight="1">
      <c r="B207" s="19"/>
    </row>
    <row r="208" ht="13.5" customHeight="1">
      <c r="B208" s="19"/>
    </row>
    <row r="209" ht="13.5" customHeight="1">
      <c r="B209" s="19"/>
    </row>
    <row r="210" ht="13.5" customHeight="1">
      <c r="B210" s="19"/>
    </row>
    <row r="211" ht="13.5" customHeight="1">
      <c r="B211" s="19"/>
    </row>
    <row r="212" ht="13.5" customHeight="1">
      <c r="B212" s="19"/>
    </row>
    <row r="213" ht="13.5" customHeight="1">
      <c r="B213" s="19"/>
    </row>
    <row r="214" ht="13.5" customHeight="1">
      <c r="B214" s="19"/>
    </row>
    <row r="215" ht="13.5" customHeight="1">
      <c r="B215" s="19"/>
    </row>
    <row r="216" ht="13.5" customHeight="1">
      <c r="B216" s="19"/>
    </row>
    <row r="217" ht="13.5" customHeight="1">
      <c r="B217" s="19"/>
    </row>
    <row r="218" ht="13.5" customHeight="1">
      <c r="B218" s="19"/>
    </row>
    <row r="219" ht="13.5" customHeight="1">
      <c r="B219" s="19"/>
    </row>
    <row r="220" ht="13.5" customHeight="1">
      <c r="B220" s="19"/>
    </row>
    <row r="221" ht="13.5" customHeight="1">
      <c r="B221" s="19"/>
    </row>
    <row r="222" ht="13.5" customHeight="1">
      <c r="B222" s="19"/>
    </row>
    <row r="223" ht="13.5" customHeight="1">
      <c r="B223" s="19"/>
    </row>
    <row r="224" ht="13.5" customHeight="1">
      <c r="B224" s="19"/>
    </row>
    <row r="225" ht="13.5" customHeight="1">
      <c r="B225" s="19"/>
    </row>
    <row r="226" ht="13.5" customHeight="1">
      <c r="B226" s="19"/>
    </row>
    <row r="227" ht="13.5" customHeight="1">
      <c r="B227" s="19"/>
    </row>
    <row r="228" ht="13.5" customHeight="1">
      <c r="B228" s="19"/>
    </row>
    <row r="229" ht="13.5" customHeight="1">
      <c r="B229" s="19"/>
    </row>
    <row r="230" ht="13.5" customHeight="1">
      <c r="B230" s="19"/>
    </row>
    <row r="231" ht="13.5" customHeight="1">
      <c r="B231" s="19"/>
    </row>
    <row r="232" ht="13.5" customHeight="1">
      <c r="B232" s="19"/>
    </row>
    <row r="233" ht="13.5" customHeight="1">
      <c r="B233" s="19"/>
    </row>
    <row r="234" ht="13.5" customHeight="1">
      <c r="B234" s="19"/>
    </row>
    <row r="235" ht="13.5" customHeight="1">
      <c r="B235" s="19"/>
    </row>
    <row r="236" ht="13.5" customHeight="1">
      <c r="B236" s="19"/>
    </row>
    <row r="237" ht="13.5" customHeight="1">
      <c r="B237" s="19"/>
    </row>
    <row r="238" ht="13.5" customHeight="1">
      <c r="B238" s="19"/>
    </row>
    <row r="239" ht="13.5" customHeight="1">
      <c r="B239" s="19"/>
    </row>
    <row r="240" ht="13.5" customHeight="1">
      <c r="B240" s="19"/>
    </row>
    <row r="241" ht="13.5" customHeight="1">
      <c r="B241" s="19"/>
    </row>
    <row r="242" ht="13.5" customHeight="1">
      <c r="B242" s="19"/>
    </row>
    <row r="243" ht="13.5" customHeight="1">
      <c r="B243" s="19"/>
    </row>
    <row r="244" ht="13.5" customHeight="1">
      <c r="B244" s="19"/>
    </row>
    <row r="245" ht="13.5" customHeight="1">
      <c r="B245" s="19"/>
    </row>
    <row r="246" ht="13.5" customHeight="1">
      <c r="B246" s="19"/>
    </row>
    <row r="247" ht="13.5" customHeight="1">
      <c r="B247" s="19"/>
    </row>
    <row r="248" ht="13.5" customHeight="1">
      <c r="B248" s="19"/>
    </row>
    <row r="249" ht="13.5" customHeight="1">
      <c r="B249" s="19"/>
    </row>
    <row r="250" ht="13.5" customHeight="1">
      <c r="B250" s="19"/>
    </row>
    <row r="251" ht="13.5" customHeight="1">
      <c r="B251" s="19"/>
    </row>
    <row r="252" ht="13.5" customHeight="1">
      <c r="B252" s="19"/>
    </row>
    <row r="253" ht="13.5" customHeight="1">
      <c r="B253" s="19"/>
    </row>
    <row r="254" ht="13.5" customHeight="1">
      <c r="B254" s="19"/>
    </row>
    <row r="255" ht="13.5" customHeight="1">
      <c r="B255" s="19"/>
    </row>
    <row r="256" ht="13.5" customHeight="1">
      <c r="B256" s="19"/>
    </row>
    <row r="257" ht="13.5" customHeight="1">
      <c r="B257" s="19"/>
    </row>
    <row r="258" ht="13.5" customHeight="1">
      <c r="B258" s="19"/>
    </row>
    <row r="259" ht="13.5" customHeight="1">
      <c r="B259" s="19"/>
    </row>
    <row r="260" ht="13.5" customHeight="1">
      <c r="B260" s="19"/>
    </row>
    <row r="261" ht="13.5" customHeight="1">
      <c r="B261" s="19"/>
    </row>
    <row r="262" ht="13.5" customHeight="1">
      <c r="B262" s="19"/>
    </row>
    <row r="263" ht="13.5" customHeight="1">
      <c r="B263" s="19"/>
    </row>
    <row r="264" ht="13.5" customHeight="1">
      <c r="B264" s="19"/>
    </row>
    <row r="265" ht="13.5" customHeight="1">
      <c r="B265" s="19"/>
    </row>
    <row r="266" ht="13.5" customHeight="1">
      <c r="B266" s="19"/>
    </row>
    <row r="267" ht="13.5" customHeight="1">
      <c r="B267" s="19"/>
    </row>
    <row r="268" ht="13.5" customHeight="1">
      <c r="B268" s="19"/>
    </row>
    <row r="269" ht="13.5" customHeight="1">
      <c r="B269" s="19"/>
    </row>
    <row r="270" ht="13.5" customHeight="1">
      <c r="B270" s="19"/>
    </row>
    <row r="271" ht="13.5" customHeight="1">
      <c r="B271" s="19"/>
    </row>
    <row r="272" ht="13.5" customHeight="1">
      <c r="B272" s="19"/>
    </row>
    <row r="273" ht="13.5" customHeight="1">
      <c r="B273" s="19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I84:L84"/>
    <mergeCell ref="I90:L90"/>
  </mergeCells>
  <printOptions/>
  <pageMargins bottom="0.7875" footer="0.0" header="0.0" left="0.511805555555555" right="0.511805555555555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5.29"/>
    <col customWidth="1" min="3" max="3" width="24.29"/>
    <col customWidth="1" min="4" max="4" width="5.57"/>
    <col customWidth="1" min="5" max="5" width="27.43"/>
    <col customWidth="1" min="6" max="6" width="28.0"/>
    <col customWidth="1" min="7" max="9" width="9.14"/>
  </cols>
  <sheetData>
    <row r="1" ht="13.5" customHeight="1">
      <c r="A1" s="31" t="s">
        <v>8</v>
      </c>
      <c r="B1" s="31" t="s">
        <v>154</v>
      </c>
      <c r="C1" s="31" t="s">
        <v>155</v>
      </c>
      <c r="D1" s="31" t="s">
        <v>156</v>
      </c>
      <c r="E1" s="3" t="s">
        <v>157</v>
      </c>
      <c r="F1" s="3" t="s">
        <v>158</v>
      </c>
      <c r="G1" s="3" t="s">
        <v>159</v>
      </c>
      <c r="H1" s="3" t="s">
        <v>160</v>
      </c>
    </row>
    <row r="2" ht="13.5" customHeight="1">
      <c r="B2" s="7"/>
      <c r="C2" s="7"/>
      <c r="D2" s="7">
        <f>COUNTIF(D3:D146,"YES")</f>
        <v>95</v>
      </c>
      <c r="E2" s="7"/>
      <c r="F2" s="7"/>
      <c r="G2" s="7">
        <f t="shared" ref="G2:H2" si="1">COUNTIF(G3:G146,"YES")</f>
        <v>94</v>
      </c>
      <c r="H2" s="7">
        <f t="shared" si="1"/>
        <v>0</v>
      </c>
    </row>
    <row r="3" ht="13.5" customHeight="1">
      <c r="B3" s="7"/>
      <c r="C3" s="7"/>
      <c r="D3" s="7"/>
      <c r="E3" s="7"/>
      <c r="F3" s="7"/>
      <c r="G3" s="7"/>
      <c r="H3" s="7"/>
    </row>
    <row r="4" ht="13.5" customHeight="1">
      <c r="B4" s="7" t="s">
        <v>13</v>
      </c>
      <c r="C4" s="7"/>
      <c r="D4" s="7">
        <f>COUNTIF(D5:D10,"YES")</f>
        <v>6</v>
      </c>
      <c r="E4" s="7" t="s">
        <v>16</v>
      </c>
      <c r="F4" s="7"/>
      <c r="G4" s="7">
        <f t="shared" ref="G4:H4" si="2">COUNTIF(G5:G10,"YES")</f>
        <v>6</v>
      </c>
      <c r="H4" s="7">
        <f t="shared" si="2"/>
        <v>0</v>
      </c>
    </row>
    <row r="5" ht="13.5" customHeight="1">
      <c r="A5" s="22" t="s">
        <v>51</v>
      </c>
      <c r="B5" s="26" t="s">
        <v>49</v>
      </c>
      <c r="C5" s="26" t="s">
        <v>13</v>
      </c>
      <c r="D5" s="11" t="s">
        <v>14</v>
      </c>
      <c r="E5" s="26" t="s">
        <v>50</v>
      </c>
      <c r="F5" s="26" t="s">
        <v>16</v>
      </c>
      <c r="G5" s="11" t="s">
        <v>14</v>
      </c>
      <c r="H5" s="13" t="s">
        <v>15</v>
      </c>
    </row>
    <row r="6" ht="13.5" customHeight="1">
      <c r="A6" s="25" t="s">
        <v>60</v>
      </c>
      <c r="B6" s="26" t="s">
        <v>13</v>
      </c>
      <c r="C6" s="26" t="s">
        <v>65</v>
      </c>
      <c r="D6" s="11" t="s">
        <v>14</v>
      </c>
      <c r="E6" s="26" t="s">
        <v>16</v>
      </c>
      <c r="F6" s="26" t="s">
        <v>66</v>
      </c>
      <c r="G6" s="11" t="s">
        <v>14</v>
      </c>
      <c r="H6" s="13" t="s">
        <v>15</v>
      </c>
    </row>
    <row r="7" ht="13.5" customHeight="1">
      <c r="A7" s="25" t="s">
        <v>60</v>
      </c>
      <c r="B7" s="26" t="s">
        <v>13</v>
      </c>
      <c r="C7" s="26" t="s">
        <v>68</v>
      </c>
      <c r="D7" s="11" t="s">
        <v>14</v>
      </c>
      <c r="E7" s="26" t="s">
        <v>16</v>
      </c>
      <c r="F7" s="26" t="s">
        <v>69</v>
      </c>
      <c r="G7" s="11" t="s">
        <v>14</v>
      </c>
      <c r="H7" s="13" t="s">
        <v>15</v>
      </c>
    </row>
    <row r="8" ht="13.5" customHeight="1">
      <c r="A8" s="25" t="s">
        <v>60</v>
      </c>
      <c r="B8" s="26" t="s">
        <v>13</v>
      </c>
      <c r="C8" s="26" t="s">
        <v>70</v>
      </c>
      <c r="D8" s="11" t="s">
        <v>14</v>
      </c>
      <c r="E8" s="26" t="s">
        <v>16</v>
      </c>
      <c r="F8" s="26" t="s">
        <v>71</v>
      </c>
      <c r="G8" s="11" t="s">
        <v>14</v>
      </c>
      <c r="H8" s="13" t="s">
        <v>15</v>
      </c>
    </row>
    <row r="9" ht="13.5" customHeight="1">
      <c r="A9" s="25" t="s">
        <v>60</v>
      </c>
      <c r="B9" s="26" t="s">
        <v>13</v>
      </c>
      <c r="C9" s="26" t="s">
        <v>72</v>
      </c>
      <c r="D9" s="11" t="s">
        <v>14</v>
      </c>
      <c r="E9" s="26" t="s">
        <v>16</v>
      </c>
      <c r="F9" s="26" t="s">
        <v>73</v>
      </c>
      <c r="G9" s="11" t="s">
        <v>14</v>
      </c>
      <c r="H9" s="13" t="s">
        <v>15</v>
      </c>
    </row>
    <row r="10" ht="13.5" customHeight="1">
      <c r="A10" s="25" t="s">
        <v>60</v>
      </c>
      <c r="B10" s="26" t="s">
        <v>13</v>
      </c>
      <c r="C10" s="26" t="s">
        <v>74</v>
      </c>
      <c r="D10" s="11" t="s">
        <v>14</v>
      </c>
      <c r="E10" s="26" t="s">
        <v>16</v>
      </c>
      <c r="F10" s="26" t="s">
        <v>75</v>
      </c>
      <c r="G10" s="11" t="s">
        <v>14</v>
      </c>
      <c r="H10" s="13" t="s">
        <v>15</v>
      </c>
    </row>
    <row r="11" ht="13.5" customHeight="1">
      <c r="D11" s="12"/>
      <c r="G11" s="12"/>
    </row>
    <row r="12" ht="13.5" customHeight="1">
      <c r="B12" s="7" t="s">
        <v>21</v>
      </c>
      <c r="D12" s="7">
        <f>COUNTIF(D13:D24,"YES")</f>
        <v>12</v>
      </c>
      <c r="E12" s="7" t="s">
        <v>22</v>
      </c>
      <c r="G12" s="7">
        <f t="shared" ref="G12:H12" si="3">COUNTIF(G13:G24,"YES")</f>
        <v>12</v>
      </c>
      <c r="H12" s="7">
        <f t="shared" si="3"/>
        <v>0</v>
      </c>
    </row>
    <row r="13" ht="13.5" customHeight="1">
      <c r="A13" s="22" t="s">
        <v>51</v>
      </c>
      <c r="B13" s="26" t="s">
        <v>70</v>
      </c>
      <c r="C13" s="26" t="s">
        <v>21</v>
      </c>
      <c r="D13" s="11" t="s">
        <v>14</v>
      </c>
      <c r="E13" s="26" t="s">
        <v>71</v>
      </c>
      <c r="F13" s="26" t="s">
        <v>22</v>
      </c>
      <c r="G13" s="11" t="s">
        <v>14</v>
      </c>
      <c r="H13" s="13" t="s">
        <v>15</v>
      </c>
    </row>
    <row r="14" ht="13.5" customHeight="1">
      <c r="A14" s="22" t="s">
        <v>51</v>
      </c>
      <c r="B14" s="26" t="s">
        <v>54</v>
      </c>
      <c r="C14" s="26" t="s">
        <v>21</v>
      </c>
      <c r="D14" s="11" t="s">
        <v>14</v>
      </c>
      <c r="E14" s="26" t="s">
        <v>161</v>
      </c>
      <c r="F14" s="26" t="s">
        <v>22</v>
      </c>
      <c r="G14" s="11" t="s">
        <v>14</v>
      </c>
      <c r="H14" s="13" t="s">
        <v>15</v>
      </c>
    </row>
    <row r="15" ht="13.5" customHeight="1">
      <c r="A15" s="25" t="s">
        <v>60</v>
      </c>
      <c r="B15" s="26" t="s">
        <v>21</v>
      </c>
      <c r="C15" s="26" t="s">
        <v>76</v>
      </c>
      <c r="D15" s="11" t="s">
        <v>14</v>
      </c>
      <c r="E15" s="26" t="s">
        <v>22</v>
      </c>
      <c r="F15" s="26" t="s">
        <v>77</v>
      </c>
      <c r="G15" s="11" t="s">
        <v>14</v>
      </c>
      <c r="H15" s="13" t="s">
        <v>15</v>
      </c>
    </row>
    <row r="16" ht="13.5" customHeight="1">
      <c r="A16" s="25" t="s">
        <v>60</v>
      </c>
      <c r="B16" s="26" t="s">
        <v>21</v>
      </c>
      <c r="C16" s="26" t="s">
        <v>78</v>
      </c>
      <c r="D16" s="11" t="s">
        <v>14</v>
      </c>
      <c r="E16" s="26" t="s">
        <v>22</v>
      </c>
      <c r="F16" s="26" t="s">
        <v>79</v>
      </c>
      <c r="G16" s="11" t="s">
        <v>14</v>
      </c>
      <c r="H16" s="13" t="s">
        <v>15</v>
      </c>
    </row>
    <row r="17" ht="13.5" customHeight="1">
      <c r="A17" s="25" t="s">
        <v>60</v>
      </c>
      <c r="B17" s="26" t="s">
        <v>21</v>
      </c>
      <c r="C17" s="26" t="s">
        <v>80</v>
      </c>
      <c r="D17" s="11" t="s">
        <v>14</v>
      </c>
      <c r="E17" s="26" t="s">
        <v>22</v>
      </c>
      <c r="F17" s="26" t="s">
        <v>81</v>
      </c>
      <c r="G17" s="11" t="s">
        <v>14</v>
      </c>
      <c r="H17" s="13" t="s">
        <v>15</v>
      </c>
    </row>
    <row r="18" ht="13.5" customHeight="1">
      <c r="A18" s="25" t="s">
        <v>60</v>
      </c>
      <c r="B18" s="26" t="s">
        <v>21</v>
      </c>
      <c r="C18" s="26" t="s">
        <v>82</v>
      </c>
      <c r="D18" s="11" t="s">
        <v>14</v>
      </c>
      <c r="E18" s="26" t="s">
        <v>22</v>
      </c>
      <c r="F18" s="26" t="s">
        <v>83</v>
      </c>
      <c r="G18" s="11" t="s">
        <v>14</v>
      </c>
      <c r="H18" s="13" t="s">
        <v>15</v>
      </c>
    </row>
    <row r="19" ht="13.5" customHeight="1">
      <c r="A19" s="25" t="s">
        <v>60</v>
      </c>
      <c r="B19" s="26" t="s">
        <v>21</v>
      </c>
      <c r="C19" s="26" t="s">
        <v>84</v>
      </c>
      <c r="D19" s="11" t="s">
        <v>14</v>
      </c>
      <c r="E19" s="26" t="s">
        <v>22</v>
      </c>
      <c r="F19" s="26" t="s">
        <v>85</v>
      </c>
      <c r="G19" s="11" t="s">
        <v>14</v>
      </c>
      <c r="H19" s="13" t="s">
        <v>15</v>
      </c>
    </row>
    <row r="20" ht="13.5" customHeight="1">
      <c r="A20" s="25" t="s">
        <v>60</v>
      </c>
      <c r="B20" s="26" t="s">
        <v>21</v>
      </c>
      <c r="C20" s="26" t="s">
        <v>86</v>
      </c>
      <c r="D20" s="11" t="s">
        <v>14</v>
      </c>
      <c r="E20" s="26" t="s">
        <v>22</v>
      </c>
      <c r="F20" s="26" t="s">
        <v>87</v>
      </c>
      <c r="G20" s="11" t="s">
        <v>14</v>
      </c>
      <c r="H20" s="13" t="s">
        <v>15</v>
      </c>
    </row>
    <row r="21" ht="13.5" customHeight="1">
      <c r="A21" s="25" t="s">
        <v>60</v>
      </c>
      <c r="B21" s="26" t="s">
        <v>21</v>
      </c>
      <c r="C21" s="26" t="s">
        <v>88</v>
      </c>
      <c r="D21" s="11" t="s">
        <v>14</v>
      </c>
      <c r="E21" s="26" t="s">
        <v>22</v>
      </c>
      <c r="F21" s="26" t="s">
        <v>89</v>
      </c>
      <c r="G21" s="11" t="s">
        <v>14</v>
      </c>
      <c r="H21" s="13" t="s">
        <v>15</v>
      </c>
    </row>
    <row r="22" ht="13.5" customHeight="1">
      <c r="A22" s="25" t="s">
        <v>60</v>
      </c>
      <c r="B22" s="26" t="s">
        <v>21</v>
      </c>
      <c r="C22" s="26" t="s">
        <v>90</v>
      </c>
      <c r="D22" s="11" t="s">
        <v>14</v>
      </c>
      <c r="E22" s="26" t="s">
        <v>22</v>
      </c>
      <c r="F22" s="26" t="s">
        <v>91</v>
      </c>
      <c r="G22" s="11" t="s">
        <v>14</v>
      </c>
      <c r="H22" s="13" t="s">
        <v>15</v>
      </c>
    </row>
    <row r="23" ht="13.5" customHeight="1">
      <c r="A23" s="25" t="s">
        <v>60</v>
      </c>
      <c r="B23" s="26" t="s">
        <v>21</v>
      </c>
      <c r="C23" s="26" t="s">
        <v>92</v>
      </c>
      <c r="D23" s="11" t="s">
        <v>14</v>
      </c>
      <c r="E23" s="26" t="s">
        <v>22</v>
      </c>
      <c r="F23" s="26" t="s">
        <v>93</v>
      </c>
      <c r="G23" s="11" t="s">
        <v>14</v>
      </c>
      <c r="H23" s="13" t="s">
        <v>15</v>
      </c>
    </row>
    <row r="24" ht="13.5" customHeight="1">
      <c r="A24" s="25" t="s">
        <v>60</v>
      </c>
      <c r="B24" s="26" t="s">
        <v>21</v>
      </c>
      <c r="C24" s="26" t="s">
        <v>94</v>
      </c>
      <c r="D24" s="11" t="s">
        <v>14</v>
      </c>
      <c r="E24" s="26" t="s">
        <v>22</v>
      </c>
      <c r="F24" s="26" t="s">
        <v>95</v>
      </c>
      <c r="G24" s="11" t="s">
        <v>14</v>
      </c>
      <c r="H24" s="13" t="s">
        <v>15</v>
      </c>
    </row>
    <row r="25" ht="13.5" customHeight="1">
      <c r="D25" s="12"/>
      <c r="G25" s="12"/>
    </row>
    <row r="26" ht="13.5" customHeight="1">
      <c r="B26" s="7" t="s">
        <v>23</v>
      </c>
      <c r="D26" s="7">
        <f>COUNTIF(D27:D28,"YES")</f>
        <v>2</v>
      </c>
      <c r="E26" s="7" t="s">
        <v>24</v>
      </c>
      <c r="G26" s="7">
        <f t="shared" ref="G26:H26" si="4">COUNTIF(G27:G28,"YES")</f>
        <v>2</v>
      </c>
      <c r="H26" s="7">
        <f t="shared" si="4"/>
        <v>0</v>
      </c>
    </row>
    <row r="27" ht="13.5" customHeight="1">
      <c r="A27" s="22" t="s">
        <v>51</v>
      </c>
      <c r="B27" s="26" t="s">
        <v>76</v>
      </c>
      <c r="C27" s="26" t="s">
        <v>23</v>
      </c>
      <c r="D27" s="11" t="s">
        <v>14</v>
      </c>
      <c r="E27" s="26" t="s">
        <v>77</v>
      </c>
      <c r="F27" s="26" t="s">
        <v>24</v>
      </c>
      <c r="G27" s="11" t="s">
        <v>14</v>
      </c>
      <c r="H27" s="13" t="s">
        <v>15</v>
      </c>
    </row>
    <row r="28" ht="13.5" customHeight="1">
      <c r="A28" s="25" t="s">
        <v>60</v>
      </c>
      <c r="B28" s="26" t="s">
        <v>23</v>
      </c>
      <c r="C28" s="26" t="s">
        <v>96</v>
      </c>
      <c r="D28" s="11" t="s">
        <v>14</v>
      </c>
      <c r="E28" s="26" t="s">
        <v>24</v>
      </c>
      <c r="F28" s="26" t="s">
        <v>97</v>
      </c>
      <c r="G28" s="11" t="s">
        <v>14</v>
      </c>
      <c r="H28" s="13" t="s">
        <v>15</v>
      </c>
    </row>
    <row r="29" ht="13.5" customHeight="1">
      <c r="D29" s="12"/>
      <c r="G29" s="12"/>
    </row>
    <row r="30" ht="13.5" customHeight="1">
      <c r="B30" s="7" t="s">
        <v>25</v>
      </c>
      <c r="D30" s="7">
        <f>COUNTIF(D31:D34,"YES")</f>
        <v>4</v>
      </c>
      <c r="E30" s="7" t="s">
        <v>26</v>
      </c>
      <c r="G30" s="7">
        <f t="shared" ref="G30:H30" si="5">COUNTIF(G31:G34,"YES")</f>
        <v>4</v>
      </c>
      <c r="H30" s="7">
        <f t="shared" si="5"/>
        <v>0</v>
      </c>
    </row>
    <row r="31" ht="13.5" customHeight="1">
      <c r="A31" s="22" t="s">
        <v>51</v>
      </c>
      <c r="B31" s="26" t="s">
        <v>82</v>
      </c>
      <c r="C31" s="26" t="s">
        <v>25</v>
      </c>
      <c r="D31" s="11" t="s">
        <v>14</v>
      </c>
      <c r="E31" s="26" t="s">
        <v>83</v>
      </c>
      <c r="F31" s="26" t="s">
        <v>26</v>
      </c>
      <c r="G31" s="11" t="s">
        <v>14</v>
      </c>
      <c r="H31" s="13" t="s">
        <v>15</v>
      </c>
    </row>
    <row r="32" ht="13.5" customHeight="1">
      <c r="A32" s="22" t="s">
        <v>51</v>
      </c>
      <c r="B32" s="26" t="s">
        <v>96</v>
      </c>
      <c r="C32" s="26" t="s">
        <v>25</v>
      </c>
      <c r="D32" s="11" t="s">
        <v>14</v>
      </c>
      <c r="E32" s="26" t="s">
        <v>97</v>
      </c>
      <c r="F32" s="26" t="s">
        <v>26</v>
      </c>
      <c r="G32" s="11" t="s">
        <v>14</v>
      </c>
      <c r="H32" s="13" t="s">
        <v>15</v>
      </c>
    </row>
    <row r="33" ht="13.5" customHeight="1">
      <c r="A33" s="25" t="s">
        <v>60</v>
      </c>
      <c r="B33" s="26" t="s">
        <v>25</v>
      </c>
      <c r="C33" s="26" t="s">
        <v>98</v>
      </c>
      <c r="D33" s="11" t="s">
        <v>14</v>
      </c>
      <c r="E33" s="26" t="s">
        <v>26</v>
      </c>
      <c r="F33" s="26" t="s">
        <v>99</v>
      </c>
      <c r="G33" s="11" t="s">
        <v>14</v>
      </c>
      <c r="H33" s="13" t="s">
        <v>15</v>
      </c>
    </row>
    <row r="34" ht="13.5" customHeight="1">
      <c r="A34" s="25" t="s">
        <v>60</v>
      </c>
      <c r="B34" s="26" t="s">
        <v>25</v>
      </c>
      <c r="C34" s="26" t="s">
        <v>100</v>
      </c>
      <c r="D34" s="11" t="s">
        <v>14</v>
      </c>
      <c r="E34" s="26" t="s">
        <v>26</v>
      </c>
      <c r="F34" s="26" t="s">
        <v>101</v>
      </c>
      <c r="G34" s="11" t="s">
        <v>14</v>
      </c>
      <c r="H34" s="13" t="s">
        <v>15</v>
      </c>
    </row>
    <row r="35" ht="13.5" customHeight="1">
      <c r="D35" s="12"/>
      <c r="G35" s="12"/>
    </row>
    <row r="36" ht="13.5" customHeight="1">
      <c r="B36" s="7" t="s">
        <v>27</v>
      </c>
      <c r="D36" s="7">
        <f>COUNTIF(D37:D42,"YES")</f>
        <v>6</v>
      </c>
      <c r="E36" s="7" t="s">
        <v>28</v>
      </c>
      <c r="G36" s="7">
        <f t="shared" ref="G36:H36" si="6">COUNTIF(G37:G42,"YES")</f>
        <v>6</v>
      </c>
      <c r="H36" s="7">
        <f t="shared" si="6"/>
        <v>0</v>
      </c>
    </row>
    <row r="37" ht="13.5" customHeight="1">
      <c r="A37" s="22" t="s">
        <v>51</v>
      </c>
      <c r="B37" s="26" t="s">
        <v>72</v>
      </c>
      <c r="C37" s="26" t="s">
        <v>27</v>
      </c>
      <c r="D37" s="11" t="s">
        <v>14</v>
      </c>
      <c r="E37" s="26" t="s">
        <v>73</v>
      </c>
      <c r="F37" s="26" t="s">
        <v>28</v>
      </c>
      <c r="G37" s="11" t="s">
        <v>14</v>
      </c>
      <c r="H37" s="13" t="s">
        <v>15</v>
      </c>
    </row>
    <row r="38" ht="13.5" customHeight="1">
      <c r="A38" s="22" t="s">
        <v>51</v>
      </c>
      <c r="B38" s="26" t="s">
        <v>52</v>
      </c>
      <c r="C38" s="26" t="s">
        <v>27</v>
      </c>
      <c r="D38" s="11" t="s">
        <v>14</v>
      </c>
      <c r="E38" s="26" t="s">
        <v>162</v>
      </c>
      <c r="F38" s="26" t="s">
        <v>28</v>
      </c>
      <c r="G38" s="11" t="s">
        <v>14</v>
      </c>
      <c r="H38" s="13" t="s">
        <v>15</v>
      </c>
    </row>
    <row r="39" ht="13.5" customHeight="1">
      <c r="A39" s="25" t="s">
        <v>60</v>
      </c>
      <c r="B39" s="26" t="s">
        <v>27</v>
      </c>
      <c r="C39" s="26" t="s">
        <v>102</v>
      </c>
      <c r="D39" s="11" t="s">
        <v>14</v>
      </c>
      <c r="E39" s="26" t="s">
        <v>28</v>
      </c>
      <c r="F39" s="26" t="s">
        <v>103</v>
      </c>
      <c r="G39" s="11" t="s">
        <v>14</v>
      </c>
      <c r="H39" s="13" t="s">
        <v>15</v>
      </c>
    </row>
    <row r="40" ht="13.5" customHeight="1">
      <c r="A40" s="25" t="s">
        <v>60</v>
      </c>
      <c r="B40" s="26" t="s">
        <v>27</v>
      </c>
      <c r="C40" s="26" t="s">
        <v>104</v>
      </c>
      <c r="D40" s="11" t="s">
        <v>14</v>
      </c>
      <c r="E40" s="26" t="s">
        <v>28</v>
      </c>
      <c r="F40" s="26" t="s">
        <v>105</v>
      </c>
      <c r="G40" s="11" t="s">
        <v>14</v>
      </c>
      <c r="H40" s="13" t="s">
        <v>15</v>
      </c>
    </row>
    <row r="41" ht="13.5" customHeight="1">
      <c r="A41" s="25" t="s">
        <v>60</v>
      </c>
      <c r="B41" s="26" t="s">
        <v>27</v>
      </c>
      <c r="C41" s="26" t="s">
        <v>106</v>
      </c>
      <c r="D41" s="11" t="s">
        <v>14</v>
      </c>
      <c r="E41" s="26" t="s">
        <v>28</v>
      </c>
      <c r="F41" s="26" t="s">
        <v>107</v>
      </c>
      <c r="G41" s="11" t="s">
        <v>14</v>
      </c>
      <c r="H41" s="13" t="s">
        <v>15</v>
      </c>
    </row>
    <row r="42" ht="13.5" customHeight="1">
      <c r="A42" s="25" t="s">
        <v>60</v>
      </c>
      <c r="B42" s="26" t="s">
        <v>27</v>
      </c>
      <c r="C42" s="26" t="s">
        <v>108</v>
      </c>
      <c r="D42" s="11" t="s">
        <v>14</v>
      </c>
      <c r="E42" s="26" t="s">
        <v>28</v>
      </c>
      <c r="F42" s="26" t="s">
        <v>109</v>
      </c>
      <c r="G42" s="11" t="s">
        <v>14</v>
      </c>
      <c r="H42" s="13" t="s">
        <v>15</v>
      </c>
    </row>
    <row r="43" ht="13.5" customHeight="1">
      <c r="D43" s="12"/>
      <c r="G43" s="12"/>
    </row>
    <row r="44" ht="13.5" customHeight="1">
      <c r="B44" s="7" t="s">
        <v>29</v>
      </c>
      <c r="D44" s="7">
        <f>COUNTIF(D45:D47,"YES")</f>
        <v>3</v>
      </c>
      <c r="E44" s="7" t="s">
        <v>30</v>
      </c>
      <c r="G44" s="7">
        <f t="shared" ref="G44:H44" si="7">COUNTIF(G45:G47,"YES")</f>
        <v>3</v>
      </c>
      <c r="H44" s="7">
        <f t="shared" si="7"/>
        <v>0</v>
      </c>
    </row>
    <row r="45" ht="13.5" customHeight="1">
      <c r="A45" s="22" t="s">
        <v>51</v>
      </c>
      <c r="B45" s="26" t="s">
        <v>72</v>
      </c>
      <c r="C45" s="26" t="s">
        <v>29</v>
      </c>
      <c r="D45" s="11" t="s">
        <v>14</v>
      </c>
      <c r="E45" s="26" t="s">
        <v>73</v>
      </c>
      <c r="F45" s="26" t="s">
        <v>30</v>
      </c>
      <c r="G45" s="11" t="s">
        <v>14</v>
      </c>
      <c r="H45" s="13" t="s">
        <v>15</v>
      </c>
    </row>
    <row r="46" ht="13.5" customHeight="1">
      <c r="A46" s="22" t="s">
        <v>51</v>
      </c>
      <c r="B46" s="26" t="s">
        <v>56</v>
      </c>
      <c r="C46" s="26" t="s">
        <v>29</v>
      </c>
      <c r="D46" s="11" t="s">
        <v>14</v>
      </c>
      <c r="E46" s="26" t="s">
        <v>163</v>
      </c>
      <c r="F46" s="26" t="s">
        <v>30</v>
      </c>
      <c r="G46" s="11" t="s">
        <v>14</v>
      </c>
      <c r="H46" s="13" t="s">
        <v>15</v>
      </c>
    </row>
    <row r="47" ht="13.5" customHeight="1">
      <c r="A47" s="25" t="s">
        <v>60</v>
      </c>
      <c r="B47" s="26" t="s">
        <v>29</v>
      </c>
      <c r="C47" s="26" t="s">
        <v>110</v>
      </c>
      <c r="D47" s="11" t="s">
        <v>14</v>
      </c>
      <c r="E47" s="26" t="s">
        <v>30</v>
      </c>
      <c r="F47" s="26" t="s">
        <v>111</v>
      </c>
      <c r="G47" s="11" t="s">
        <v>14</v>
      </c>
      <c r="H47" s="13" t="s">
        <v>15</v>
      </c>
    </row>
    <row r="48" ht="13.5" customHeight="1">
      <c r="D48" s="12"/>
      <c r="G48" s="12"/>
    </row>
    <row r="49" ht="13.5" customHeight="1">
      <c r="B49" s="7" t="s">
        <v>31</v>
      </c>
      <c r="D49" s="7">
        <f>COUNTIF(D50:D53,"YES")</f>
        <v>4</v>
      </c>
      <c r="E49" s="7" t="s">
        <v>32</v>
      </c>
      <c r="G49" s="7">
        <f t="shared" ref="G49:H49" si="8">COUNTIF(G50:G53,"YES")</f>
        <v>4</v>
      </c>
      <c r="H49" s="7">
        <f t="shared" si="8"/>
        <v>0</v>
      </c>
    </row>
    <row r="50" ht="13.5" customHeight="1">
      <c r="A50" s="22" t="s">
        <v>51</v>
      </c>
      <c r="B50" s="26" t="s">
        <v>110</v>
      </c>
      <c r="C50" s="26" t="s">
        <v>31</v>
      </c>
      <c r="D50" s="11" t="s">
        <v>14</v>
      </c>
      <c r="E50" s="26" t="s">
        <v>111</v>
      </c>
      <c r="F50" s="26" t="s">
        <v>32</v>
      </c>
      <c r="G50" s="11" t="s">
        <v>14</v>
      </c>
      <c r="H50" s="13" t="s">
        <v>15</v>
      </c>
    </row>
    <row r="51" ht="13.5" customHeight="1">
      <c r="A51" s="25" t="s">
        <v>60</v>
      </c>
      <c r="B51" s="26" t="s">
        <v>31</v>
      </c>
      <c r="C51" s="26" t="s">
        <v>112</v>
      </c>
      <c r="D51" s="11" t="s">
        <v>14</v>
      </c>
      <c r="E51" s="26" t="s">
        <v>32</v>
      </c>
      <c r="F51" s="26" t="s">
        <v>113</v>
      </c>
      <c r="G51" s="11" t="s">
        <v>14</v>
      </c>
      <c r="H51" s="13" t="s">
        <v>15</v>
      </c>
    </row>
    <row r="52" ht="13.5" customHeight="1">
      <c r="A52" s="25" t="s">
        <v>60</v>
      </c>
      <c r="B52" s="26" t="s">
        <v>31</v>
      </c>
      <c r="C52" s="26" t="s">
        <v>114</v>
      </c>
      <c r="D52" s="11" t="s">
        <v>14</v>
      </c>
      <c r="E52" s="26" t="s">
        <v>32</v>
      </c>
      <c r="F52" s="26" t="s">
        <v>115</v>
      </c>
      <c r="G52" s="11" t="s">
        <v>14</v>
      </c>
      <c r="H52" s="13" t="s">
        <v>15</v>
      </c>
    </row>
    <row r="53" ht="13.5" customHeight="1">
      <c r="A53" s="25" t="s">
        <v>60</v>
      </c>
      <c r="B53" s="26" t="s">
        <v>31</v>
      </c>
      <c r="C53" s="26" t="s">
        <v>116</v>
      </c>
      <c r="D53" s="11" t="s">
        <v>14</v>
      </c>
      <c r="E53" s="26" t="s">
        <v>32</v>
      </c>
      <c r="F53" s="26" t="s">
        <v>117</v>
      </c>
      <c r="G53" s="11" t="s">
        <v>14</v>
      </c>
      <c r="H53" s="13" t="s">
        <v>15</v>
      </c>
    </row>
    <row r="54" ht="13.5" customHeight="1">
      <c r="D54" s="12"/>
      <c r="G54" s="12"/>
    </row>
    <row r="55" ht="13.5" customHeight="1">
      <c r="B55" s="7" t="s">
        <v>33</v>
      </c>
      <c r="D55" s="7">
        <f>COUNTIF(D56:D60,"YES")</f>
        <v>5</v>
      </c>
      <c r="E55" s="7" t="s">
        <v>34</v>
      </c>
      <c r="G55" s="7">
        <f t="shared" ref="G55:H55" si="9">COUNTIF(G56:G60,"YES")</f>
        <v>5</v>
      </c>
      <c r="H55" s="7">
        <f t="shared" si="9"/>
        <v>0</v>
      </c>
    </row>
    <row r="56" ht="13.5" customHeight="1">
      <c r="A56" s="22" t="s">
        <v>51</v>
      </c>
      <c r="B56" s="26" t="s">
        <v>102</v>
      </c>
      <c r="C56" s="26" t="s">
        <v>33</v>
      </c>
      <c r="D56" s="11" t="s">
        <v>14</v>
      </c>
      <c r="E56" s="26" t="s">
        <v>103</v>
      </c>
      <c r="F56" s="26" t="s">
        <v>34</v>
      </c>
      <c r="G56" s="11" t="s">
        <v>14</v>
      </c>
      <c r="H56" s="13" t="s">
        <v>15</v>
      </c>
    </row>
    <row r="57" ht="13.5" customHeight="1">
      <c r="A57" s="22" t="s">
        <v>51</v>
      </c>
      <c r="B57" s="26" t="s">
        <v>104</v>
      </c>
      <c r="C57" s="26" t="s">
        <v>33</v>
      </c>
      <c r="D57" s="11" t="s">
        <v>14</v>
      </c>
      <c r="E57" s="26" t="s">
        <v>105</v>
      </c>
      <c r="F57" s="26" t="s">
        <v>34</v>
      </c>
      <c r="G57" s="11" t="s">
        <v>14</v>
      </c>
      <c r="H57" s="13" t="s">
        <v>15</v>
      </c>
    </row>
    <row r="58" ht="13.5" customHeight="1">
      <c r="A58" s="22" t="s">
        <v>51</v>
      </c>
      <c r="B58" s="26" t="s">
        <v>106</v>
      </c>
      <c r="C58" s="26" t="s">
        <v>33</v>
      </c>
      <c r="D58" s="11" t="s">
        <v>14</v>
      </c>
      <c r="E58" s="26" t="s">
        <v>107</v>
      </c>
      <c r="F58" s="26" t="s">
        <v>34</v>
      </c>
      <c r="G58" s="11" t="s">
        <v>14</v>
      </c>
      <c r="H58" s="13" t="s">
        <v>15</v>
      </c>
    </row>
    <row r="59" ht="13.5" customHeight="1">
      <c r="A59" s="22" t="s">
        <v>51</v>
      </c>
      <c r="B59" s="26" t="s">
        <v>108</v>
      </c>
      <c r="C59" s="26" t="s">
        <v>33</v>
      </c>
      <c r="D59" s="11" t="s">
        <v>14</v>
      </c>
      <c r="E59" s="26" t="s">
        <v>109</v>
      </c>
      <c r="F59" s="26" t="s">
        <v>34</v>
      </c>
      <c r="G59" s="11" t="s">
        <v>14</v>
      </c>
      <c r="H59" s="13" t="s">
        <v>15</v>
      </c>
    </row>
    <row r="60" ht="13.5" customHeight="1">
      <c r="A60" s="25" t="s">
        <v>60</v>
      </c>
      <c r="B60" s="26" t="s">
        <v>33</v>
      </c>
      <c r="C60" s="26" t="s">
        <v>118</v>
      </c>
      <c r="D60" s="11" t="s">
        <v>14</v>
      </c>
      <c r="E60" s="26" t="s">
        <v>34</v>
      </c>
      <c r="F60" s="26" t="s">
        <v>120</v>
      </c>
      <c r="G60" s="11" t="s">
        <v>14</v>
      </c>
      <c r="H60" s="13" t="s">
        <v>15</v>
      </c>
    </row>
    <row r="61" ht="13.5" customHeight="1">
      <c r="D61" s="12"/>
      <c r="G61" s="12"/>
    </row>
    <row r="62" ht="13.5" customHeight="1">
      <c r="B62" s="7" t="s">
        <v>35</v>
      </c>
      <c r="D62" s="7">
        <f>COUNTIF(D63:D68,"YES")</f>
        <v>6</v>
      </c>
      <c r="E62" s="7" t="s">
        <v>36</v>
      </c>
      <c r="G62" s="7">
        <f t="shared" ref="G62:H62" si="10">COUNTIF(G63:G68,"YES")</f>
        <v>6</v>
      </c>
      <c r="H62" s="7">
        <f t="shared" si="10"/>
        <v>0</v>
      </c>
    </row>
    <row r="63" ht="13.5" customHeight="1">
      <c r="A63" s="22" t="s">
        <v>51</v>
      </c>
      <c r="B63" s="26" t="s">
        <v>112</v>
      </c>
      <c r="C63" s="26" t="s">
        <v>35</v>
      </c>
      <c r="D63" s="11" t="s">
        <v>14</v>
      </c>
      <c r="E63" s="26" t="s">
        <v>113</v>
      </c>
      <c r="F63" s="26" t="s">
        <v>36</v>
      </c>
      <c r="G63" s="11" t="s">
        <v>14</v>
      </c>
      <c r="H63" s="13" t="s">
        <v>15</v>
      </c>
    </row>
    <row r="64" ht="13.5" customHeight="1">
      <c r="A64" s="22" t="s">
        <v>51</v>
      </c>
      <c r="B64" s="26" t="s">
        <v>114</v>
      </c>
      <c r="C64" s="26" t="s">
        <v>35</v>
      </c>
      <c r="D64" s="11" t="s">
        <v>14</v>
      </c>
      <c r="E64" s="26" t="s">
        <v>115</v>
      </c>
      <c r="F64" s="26" t="s">
        <v>36</v>
      </c>
      <c r="G64" s="11" t="s">
        <v>14</v>
      </c>
      <c r="H64" s="13" t="s">
        <v>15</v>
      </c>
    </row>
    <row r="65" ht="13.5" customHeight="1">
      <c r="A65" s="22" t="s">
        <v>51</v>
      </c>
      <c r="B65" s="26" t="s">
        <v>116</v>
      </c>
      <c r="C65" s="26" t="s">
        <v>35</v>
      </c>
      <c r="D65" s="11" t="s">
        <v>14</v>
      </c>
      <c r="E65" s="26" t="s">
        <v>117</v>
      </c>
      <c r="F65" s="26" t="s">
        <v>36</v>
      </c>
      <c r="G65" s="11" t="s">
        <v>14</v>
      </c>
      <c r="H65" s="13" t="s">
        <v>15</v>
      </c>
    </row>
    <row r="66" ht="13.5" customHeight="1">
      <c r="A66" s="22" t="s">
        <v>51</v>
      </c>
      <c r="B66" s="26" t="s">
        <v>118</v>
      </c>
      <c r="C66" s="26" t="s">
        <v>35</v>
      </c>
      <c r="D66" s="11" t="s">
        <v>14</v>
      </c>
      <c r="E66" s="26" t="s">
        <v>120</v>
      </c>
      <c r="F66" s="26" t="s">
        <v>36</v>
      </c>
      <c r="G66" s="11" t="s">
        <v>14</v>
      </c>
      <c r="H66" s="13" t="s">
        <v>15</v>
      </c>
    </row>
    <row r="67" ht="13.5" customHeight="1">
      <c r="A67" s="22" t="s">
        <v>51</v>
      </c>
      <c r="B67" s="26" t="s">
        <v>74</v>
      </c>
      <c r="C67" s="26" t="s">
        <v>35</v>
      </c>
      <c r="D67" s="11" t="s">
        <v>14</v>
      </c>
      <c r="E67" s="26" t="s">
        <v>75</v>
      </c>
      <c r="F67" s="26" t="s">
        <v>36</v>
      </c>
      <c r="G67" s="11" t="s">
        <v>14</v>
      </c>
      <c r="H67" s="13" t="s">
        <v>15</v>
      </c>
    </row>
    <row r="68" ht="13.5" customHeight="1">
      <c r="A68" s="25" t="s">
        <v>60</v>
      </c>
      <c r="B68" s="26" t="s">
        <v>35</v>
      </c>
      <c r="C68" s="26" t="s">
        <v>164</v>
      </c>
      <c r="D68" s="11" t="s">
        <v>14</v>
      </c>
      <c r="E68" s="26" t="s">
        <v>36</v>
      </c>
      <c r="F68" s="26" t="s">
        <v>64</v>
      </c>
      <c r="G68" s="11" t="s">
        <v>14</v>
      </c>
      <c r="H68" s="13" t="s">
        <v>15</v>
      </c>
    </row>
    <row r="69" ht="13.5" customHeight="1">
      <c r="D69" s="12"/>
      <c r="G69" s="12"/>
    </row>
    <row r="70" ht="13.5" customHeight="1">
      <c r="B70" s="7" t="s">
        <v>37</v>
      </c>
      <c r="D70" s="7">
        <f>COUNTIF(D71:D80,"YES")</f>
        <v>10</v>
      </c>
      <c r="E70" s="7" t="s">
        <v>38</v>
      </c>
      <c r="G70" s="7">
        <f t="shared" ref="G70:H70" si="11">COUNTIF(G71:G80,"YES")</f>
        <v>10</v>
      </c>
      <c r="H70" s="7">
        <f t="shared" si="11"/>
        <v>0</v>
      </c>
    </row>
    <row r="71" ht="13.5" customHeight="1">
      <c r="A71" s="22" t="s">
        <v>51</v>
      </c>
      <c r="B71" s="26" t="s">
        <v>84</v>
      </c>
      <c r="C71" s="26" t="s">
        <v>37</v>
      </c>
      <c r="D71" s="11" t="s">
        <v>14</v>
      </c>
      <c r="E71" s="26" t="s">
        <v>85</v>
      </c>
      <c r="F71" s="26" t="s">
        <v>38</v>
      </c>
      <c r="G71" s="11" t="s">
        <v>14</v>
      </c>
      <c r="H71" s="13" t="s">
        <v>15</v>
      </c>
    </row>
    <row r="72" ht="13.5" customHeight="1">
      <c r="A72" s="22" t="s">
        <v>51</v>
      </c>
      <c r="B72" s="26" t="s">
        <v>86</v>
      </c>
      <c r="C72" s="26" t="s">
        <v>37</v>
      </c>
      <c r="D72" s="11" t="s">
        <v>14</v>
      </c>
      <c r="E72" s="26" t="s">
        <v>87</v>
      </c>
      <c r="F72" s="26" t="s">
        <v>38</v>
      </c>
      <c r="G72" s="11" t="s">
        <v>14</v>
      </c>
      <c r="H72" s="13" t="s">
        <v>15</v>
      </c>
    </row>
    <row r="73" ht="13.5" customHeight="1">
      <c r="A73" s="22" t="s">
        <v>51</v>
      </c>
      <c r="B73" s="26" t="s">
        <v>88</v>
      </c>
      <c r="C73" s="26" t="s">
        <v>37</v>
      </c>
      <c r="D73" s="11" t="s">
        <v>14</v>
      </c>
      <c r="E73" s="26" t="s">
        <v>89</v>
      </c>
      <c r="F73" s="26" t="s">
        <v>38</v>
      </c>
      <c r="G73" s="11" t="s">
        <v>14</v>
      </c>
      <c r="H73" s="13" t="s">
        <v>15</v>
      </c>
    </row>
    <row r="74" ht="13.5" customHeight="1">
      <c r="A74" s="22" t="s">
        <v>51</v>
      </c>
      <c r="B74" s="26" t="s">
        <v>90</v>
      </c>
      <c r="C74" s="26" t="s">
        <v>37</v>
      </c>
      <c r="D74" s="11" t="s">
        <v>14</v>
      </c>
      <c r="E74" s="26" t="s">
        <v>91</v>
      </c>
      <c r="F74" s="26" t="s">
        <v>38</v>
      </c>
      <c r="G74" s="11" t="s">
        <v>14</v>
      </c>
      <c r="H74" s="13" t="s">
        <v>15</v>
      </c>
    </row>
    <row r="75" ht="13.5" customHeight="1">
      <c r="A75" s="22" t="s">
        <v>51</v>
      </c>
      <c r="B75" s="26" t="s">
        <v>92</v>
      </c>
      <c r="C75" s="26" t="s">
        <v>37</v>
      </c>
      <c r="D75" s="11" t="s">
        <v>14</v>
      </c>
      <c r="E75" s="26" t="s">
        <v>93</v>
      </c>
      <c r="F75" s="26" t="s">
        <v>38</v>
      </c>
      <c r="G75" s="11" t="s">
        <v>14</v>
      </c>
      <c r="H75" s="13" t="s">
        <v>15</v>
      </c>
    </row>
    <row r="76" ht="13.5" customHeight="1">
      <c r="A76" s="22" t="s">
        <v>51</v>
      </c>
      <c r="B76" s="26" t="s">
        <v>94</v>
      </c>
      <c r="C76" s="26" t="s">
        <v>37</v>
      </c>
      <c r="D76" s="11" t="s">
        <v>14</v>
      </c>
      <c r="E76" s="26" t="s">
        <v>95</v>
      </c>
      <c r="F76" s="26" t="s">
        <v>38</v>
      </c>
      <c r="G76" s="11" t="s">
        <v>14</v>
      </c>
      <c r="H76" s="13" t="s">
        <v>15</v>
      </c>
    </row>
    <row r="77" ht="13.5" customHeight="1">
      <c r="A77" s="25" t="s">
        <v>60</v>
      </c>
      <c r="B77" s="26" t="s">
        <v>37</v>
      </c>
      <c r="C77" s="26" t="s">
        <v>121</v>
      </c>
      <c r="D77" s="11" t="s">
        <v>14</v>
      </c>
      <c r="E77" s="26" t="s">
        <v>38</v>
      </c>
      <c r="F77" s="26" t="s">
        <v>122</v>
      </c>
      <c r="G77" s="11" t="s">
        <v>14</v>
      </c>
      <c r="H77" s="13" t="s">
        <v>15</v>
      </c>
    </row>
    <row r="78" ht="13.5" customHeight="1">
      <c r="A78" s="25" t="s">
        <v>60</v>
      </c>
      <c r="B78" s="26" t="s">
        <v>37</v>
      </c>
      <c r="C78" s="26" t="s">
        <v>123</v>
      </c>
      <c r="D78" s="11" t="s">
        <v>14</v>
      </c>
      <c r="E78" s="26" t="s">
        <v>38</v>
      </c>
      <c r="F78" s="26" t="s">
        <v>124</v>
      </c>
      <c r="G78" s="11" t="s">
        <v>14</v>
      </c>
      <c r="H78" s="13" t="s">
        <v>15</v>
      </c>
    </row>
    <row r="79" ht="13.5" customHeight="1">
      <c r="A79" s="25" t="s">
        <v>60</v>
      </c>
      <c r="B79" s="26" t="s">
        <v>37</v>
      </c>
      <c r="C79" s="26" t="s">
        <v>125</v>
      </c>
      <c r="D79" s="11" t="s">
        <v>14</v>
      </c>
      <c r="E79" s="26" t="s">
        <v>38</v>
      </c>
      <c r="F79" s="26" t="s">
        <v>89</v>
      </c>
      <c r="G79" s="11" t="s">
        <v>14</v>
      </c>
      <c r="H79" s="13" t="s">
        <v>15</v>
      </c>
    </row>
    <row r="80" ht="13.5" customHeight="1">
      <c r="A80" s="25" t="s">
        <v>60</v>
      </c>
      <c r="B80" s="26" t="s">
        <v>37</v>
      </c>
      <c r="C80" s="26" t="s">
        <v>127</v>
      </c>
      <c r="D80" s="11" t="s">
        <v>14</v>
      </c>
      <c r="E80" s="26" t="s">
        <v>38</v>
      </c>
      <c r="F80" s="26" t="s">
        <v>95</v>
      </c>
      <c r="G80" s="11" t="s">
        <v>14</v>
      </c>
      <c r="H80" s="13" t="s">
        <v>15</v>
      </c>
    </row>
    <row r="81" ht="13.5" customHeight="1">
      <c r="D81" s="12"/>
      <c r="G81" s="12"/>
    </row>
    <row r="82" ht="13.5" customHeight="1">
      <c r="B82" s="7" t="s">
        <v>39</v>
      </c>
      <c r="D82" s="7">
        <f>COUNTIF(D83:D99,"YES")</f>
        <v>17</v>
      </c>
      <c r="E82" s="7" t="s">
        <v>40</v>
      </c>
      <c r="G82" s="7">
        <f t="shared" ref="G82:H82" si="12">COUNTIF(G83:G99,"YES")</f>
        <v>17</v>
      </c>
      <c r="H82" s="7">
        <f t="shared" si="12"/>
        <v>0</v>
      </c>
    </row>
    <row r="83" ht="13.5" customHeight="1">
      <c r="A83" s="22" t="s">
        <v>51</v>
      </c>
      <c r="B83" s="26" t="s">
        <v>65</v>
      </c>
      <c r="C83" s="26" t="s">
        <v>39</v>
      </c>
      <c r="D83" s="11" t="s">
        <v>14</v>
      </c>
      <c r="E83" s="26" t="s">
        <v>66</v>
      </c>
      <c r="F83" s="26" t="s">
        <v>40</v>
      </c>
      <c r="G83" s="11" t="s">
        <v>14</v>
      </c>
      <c r="H83" s="13" t="s">
        <v>15</v>
      </c>
    </row>
    <row r="84" ht="13.5" customHeight="1">
      <c r="A84" s="22" t="s">
        <v>51</v>
      </c>
      <c r="B84" s="26" t="s">
        <v>68</v>
      </c>
      <c r="C84" s="26" t="s">
        <v>39</v>
      </c>
      <c r="D84" s="11" t="s">
        <v>14</v>
      </c>
      <c r="E84" s="26" t="s">
        <v>69</v>
      </c>
      <c r="F84" s="26" t="s">
        <v>40</v>
      </c>
      <c r="G84" s="11" t="s">
        <v>14</v>
      </c>
      <c r="H84" s="13" t="s">
        <v>15</v>
      </c>
    </row>
    <row r="85" ht="13.5" customHeight="1">
      <c r="A85" s="22" t="s">
        <v>51</v>
      </c>
      <c r="B85" s="26" t="s">
        <v>70</v>
      </c>
      <c r="C85" s="26" t="s">
        <v>39</v>
      </c>
      <c r="D85" s="11" t="s">
        <v>14</v>
      </c>
      <c r="E85" s="26" t="s">
        <v>71</v>
      </c>
      <c r="F85" s="26" t="s">
        <v>40</v>
      </c>
      <c r="G85" s="11" t="s">
        <v>14</v>
      </c>
      <c r="H85" s="13" t="s">
        <v>15</v>
      </c>
    </row>
    <row r="86" ht="13.5" customHeight="1">
      <c r="A86" s="22" t="s">
        <v>51</v>
      </c>
      <c r="B86" s="26" t="s">
        <v>72</v>
      </c>
      <c r="C86" s="26" t="s">
        <v>39</v>
      </c>
      <c r="D86" s="11" t="s">
        <v>14</v>
      </c>
      <c r="E86" s="26" t="s">
        <v>73</v>
      </c>
      <c r="F86" s="26" t="s">
        <v>40</v>
      </c>
      <c r="G86" s="11" t="s">
        <v>14</v>
      </c>
      <c r="H86" s="13" t="s">
        <v>15</v>
      </c>
    </row>
    <row r="87" ht="13.5" customHeight="1">
      <c r="A87" s="22" t="s">
        <v>51</v>
      </c>
      <c r="B87" s="26" t="s">
        <v>74</v>
      </c>
      <c r="C87" s="26" t="s">
        <v>39</v>
      </c>
      <c r="D87" s="11" t="s">
        <v>14</v>
      </c>
      <c r="E87" s="26" t="s">
        <v>75</v>
      </c>
      <c r="F87" s="26" t="s">
        <v>40</v>
      </c>
      <c r="G87" s="11" t="s">
        <v>14</v>
      </c>
      <c r="H87" s="13" t="s">
        <v>15</v>
      </c>
    </row>
    <row r="88" ht="13.5" customHeight="1">
      <c r="A88" s="22" t="s">
        <v>51</v>
      </c>
      <c r="B88" s="26" t="s">
        <v>76</v>
      </c>
      <c r="C88" s="26" t="s">
        <v>39</v>
      </c>
      <c r="D88" s="11" t="s">
        <v>14</v>
      </c>
      <c r="E88" s="26" t="s">
        <v>77</v>
      </c>
      <c r="F88" s="26" t="s">
        <v>40</v>
      </c>
      <c r="G88" s="11" t="s">
        <v>14</v>
      </c>
      <c r="H88" s="13" t="s">
        <v>15</v>
      </c>
    </row>
    <row r="89" ht="13.5" customHeight="1">
      <c r="A89" s="22" t="s">
        <v>51</v>
      </c>
      <c r="B89" s="26" t="s">
        <v>78</v>
      </c>
      <c r="C89" s="26" t="s">
        <v>39</v>
      </c>
      <c r="D89" s="11" t="s">
        <v>14</v>
      </c>
      <c r="E89" s="26" t="s">
        <v>79</v>
      </c>
      <c r="F89" s="26" t="s">
        <v>40</v>
      </c>
      <c r="G89" s="11" t="s">
        <v>14</v>
      </c>
      <c r="H89" s="13" t="s">
        <v>15</v>
      </c>
    </row>
    <row r="90" ht="13.5" customHeight="1">
      <c r="A90" s="22" t="s">
        <v>51</v>
      </c>
      <c r="B90" s="26" t="s">
        <v>80</v>
      </c>
      <c r="C90" s="26" t="s">
        <v>39</v>
      </c>
      <c r="D90" s="11" t="s">
        <v>14</v>
      </c>
      <c r="E90" s="26" t="s">
        <v>81</v>
      </c>
      <c r="F90" s="26" t="s">
        <v>40</v>
      </c>
      <c r="G90" s="11" t="s">
        <v>14</v>
      </c>
      <c r="H90" s="13" t="s">
        <v>15</v>
      </c>
    </row>
    <row r="91" ht="13.5" customHeight="1">
      <c r="A91" s="22" t="s">
        <v>51</v>
      </c>
      <c r="B91" s="26" t="s">
        <v>82</v>
      </c>
      <c r="C91" s="26" t="s">
        <v>39</v>
      </c>
      <c r="D91" s="11" t="s">
        <v>14</v>
      </c>
      <c r="E91" s="26" t="s">
        <v>83</v>
      </c>
      <c r="F91" s="26" t="s">
        <v>40</v>
      </c>
      <c r="G91" s="11" t="s">
        <v>14</v>
      </c>
      <c r="H91" s="13" t="s">
        <v>15</v>
      </c>
    </row>
    <row r="92" ht="13.5" customHeight="1">
      <c r="A92" s="22" t="s">
        <v>51</v>
      </c>
      <c r="B92" s="26" t="s">
        <v>84</v>
      </c>
      <c r="C92" s="26" t="s">
        <v>39</v>
      </c>
      <c r="D92" s="11" t="s">
        <v>14</v>
      </c>
      <c r="E92" s="26" t="s">
        <v>85</v>
      </c>
      <c r="F92" s="26" t="s">
        <v>40</v>
      </c>
      <c r="G92" s="11" t="s">
        <v>14</v>
      </c>
      <c r="H92" s="13" t="s">
        <v>15</v>
      </c>
    </row>
    <row r="93" ht="13.5" customHeight="1">
      <c r="A93" s="22" t="s">
        <v>51</v>
      </c>
      <c r="B93" s="26" t="s">
        <v>86</v>
      </c>
      <c r="C93" s="26" t="s">
        <v>39</v>
      </c>
      <c r="D93" s="11" t="s">
        <v>14</v>
      </c>
      <c r="E93" s="26" t="s">
        <v>87</v>
      </c>
      <c r="F93" s="26" t="s">
        <v>40</v>
      </c>
      <c r="G93" s="11" t="s">
        <v>14</v>
      </c>
      <c r="H93" s="13" t="s">
        <v>15</v>
      </c>
    </row>
    <row r="94" ht="13.5" customHeight="1">
      <c r="A94" s="22" t="s">
        <v>51</v>
      </c>
      <c r="B94" s="26" t="s">
        <v>88</v>
      </c>
      <c r="C94" s="26" t="s">
        <v>39</v>
      </c>
      <c r="D94" s="11" t="s">
        <v>14</v>
      </c>
      <c r="E94" s="26" t="s">
        <v>89</v>
      </c>
      <c r="F94" s="26" t="s">
        <v>40</v>
      </c>
      <c r="G94" s="11" t="s">
        <v>14</v>
      </c>
      <c r="H94" s="13" t="s">
        <v>15</v>
      </c>
    </row>
    <row r="95" ht="13.5" customHeight="1">
      <c r="A95" s="22" t="s">
        <v>51</v>
      </c>
      <c r="B95" s="26" t="s">
        <v>90</v>
      </c>
      <c r="C95" s="26" t="s">
        <v>39</v>
      </c>
      <c r="D95" s="11" t="s">
        <v>14</v>
      </c>
      <c r="E95" s="26" t="s">
        <v>91</v>
      </c>
      <c r="F95" s="26" t="s">
        <v>40</v>
      </c>
      <c r="G95" s="11" t="s">
        <v>14</v>
      </c>
      <c r="H95" s="13" t="s">
        <v>15</v>
      </c>
    </row>
    <row r="96" ht="13.5" customHeight="1">
      <c r="A96" s="22" t="s">
        <v>51</v>
      </c>
      <c r="B96" s="26" t="s">
        <v>92</v>
      </c>
      <c r="C96" s="26" t="s">
        <v>39</v>
      </c>
      <c r="D96" s="11" t="s">
        <v>14</v>
      </c>
      <c r="E96" s="26" t="s">
        <v>93</v>
      </c>
      <c r="F96" s="26" t="s">
        <v>40</v>
      </c>
      <c r="G96" s="11" t="s">
        <v>14</v>
      </c>
      <c r="H96" s="13" t="s">
        <v>15</v>
      </c>
    </row>
    <row r="97" ht="13.5" customHeight="1">
      <c r="A97" s="22" t="s">
        <v>51</v>
      </c>
      <c r="B97" s="26" t="s">
        <v>94</v>
      </c>
      <c r="C97" s="26" t="s">
        <v>39</v>
      </c>
      <c r="D97" s="11" t="s">
        <v>14</v>
      </c>
      <c r="E97" s="26" t="s">
        <v>95</v>
      </c>
      <c r="F97" s="26" t="s">
        <v>40</v>
      </c>
      <c r="G97" s="11" t="s">
        <v>14</v>
      </c>
      <c r="H97" s="13" t="s">
        <v>15</v>
      </c>
    </row>
    <row r="98" ht="13.5" customHeight="1">
      <c r="A98" s="25" t="s">
        <v>60</v>
      </c>
      <c r="B98" s="26" t="s">
        <v>39</v>
      </c>
      <c r="C98" s="26" t="s">
        <v>61</v>
      </c>
      <c r="D98" s="11" t="s">
        <v>14</v>
      </c>
      <c r="E98" s="26" t="s">
        <v>40</v>
      </c>
      <c r="F98" s="26" t="s">
        <v>165</v>
      </c>
      <c r="G98" s="11" t="s">
        <v>14</v>
      </c>
      <c r="H98" s="13" t="s">
        <v>15</v>
      </c>
    </row>
    <row r="99" ht="13.5" customHeight="1">
      <c r="A99" s="25" t="s">
        <v>60</v>
      </c>
      <c r="B99" s="26" t="s">
        <v>39</v>
      </c>
      <c r="C99" s="26" t="s">
        <v>58</v>
      </c>
      <c r="D99" s="11" t="s">
        <v>14</v>
      </c>
      <c r="E99" s="26" t="s">
        <v>40</v>
      </c>
      <c r="F99" s="26" t="s">
        <v>166</v>
      </c>
      <c r="G99" s="11" t="s">
        <v>14</v>
      </c>
      <c r="H99" s="13" t="s">
        <v>15</v>
      </c>
    </row>
    <row r="100" ht="13.5" customHeight="1">
      <c r="D100" s="12"/>
      <c r="G100" s="12"/>
    </row>
    <row r="101" ht="13.5" customHeight="1">
      <c r="B101" s="7" t="s">
        <v>42</v>
      </c>
      <c r="D101" s="7">
        <f>COUNTIF(D102:D111,"YES")</f>
        <v>8</v>
      </c>
      <c r="E101" s="7" t="s">
        <v>43</v>
      </c>
      <c r="G101" s="7">
        <f t="shared" ref="G101:H101" si="13">COUNTIF(G102:G111,"YES")</f>
        <v>9</v>
      </c>
      <c r="H101" s="7">
        <f t="shared" si="13"/>
        <v>0</v>
      </c>
    </row>
    <row r="102" ht="13.5" customHeight="1">
      <c r="A102" s="22" t="s">
        <v>51</v>
      </c>
      <c r="B102" s="26" t="s">
        <v>123</v>
      </c>
      <c r="C102" s="26" t="s">
        <v>42</v>
      </c>
      <c r="D102" s="11" t="s">
        <v>14</v>
      </c>
      <c r="E102" s="26" t="s">
        <v>124</v>
      </c>
      <c r="F102" s="26" t="s">
        <v>43</v>
      </c>
      <c r="G102" s="11" t="s">
        <v>14</v>
      </c>
      <c r="H102" s="13" t="s">
        <v>15</v>
      </c>
    </row>
    <row r="103" ht="13.5" customHeight="1">
      <c r="A103" s="22" t="s">
        <v>51</v>
      </c>
      <c r="B103" s="26" t="s">
        <v>121</v>
      </c>
      <c r="C103" s="26" t="s">
        <v>42</v>
      </c>
      <c r="D103" s="11" t="s">
        <v>14</v>
      </c>
      <c r="E103" s="26" t="s">
        <v>122</v>
      </c>
      <c r="F103" s="26" t="s">
        <v>43</v>
      </c>
      <c r="G103" s="11" t="s">
        <v>14</v>
      </c>
      <c r="H103" s="13" t="s">
        <v>15</v>
      </c>
    </row>
    <row r="104" ht="13.5" customHeight="1">
      <c r="A104" s="22" t="s">
        <v>51</v>
      </c>
      <c r="B104" s="26" t="s">
        <v>84</v>
      </c>
      <c r="C104" s="26" t="s">
        <v>42</v>
      </c>
      <c r="D104" s="11" t="s">
        <v>14</v>
      </c>
      <c r="E104" s="26" t="s">
        <v>85</v>
      </c>
      <c r="F104" s="26" t="s">
        <v>43</v>
      </c>
      <c r="G104" s="11" t="s">
        <v>14</v>
      </c>
      <c r="H104" s="13" t="s">
        <v>15</v>
      </c>
    </row>
    <row r="105" ht="13.5" customHeight="1">
      <c r="A105" s="22" t="s">
        <v>51</v>
      </c>
      <c r="B105" s="26" t="s">
        <v>125</v>
      </c>
      <c r="C105" s="26" t="s">
        <v>42</v>
      </c>
      <c r="D105" s="11" t="s">
        <v>14</v>
      </c>
      <c r="E105" s="26" t="s">
        <v>89</v>
      </c>
      <c r="F105" s="26" t="s">
        <v>43</v>
      </c>
      <c r="G105" s="11" t="s">
        <v>14</v>
      </c>
      <c r="H105" s="13" t="s">
        <v>15</v>
      </c>
    </row>
    <row r="106" ht="13.5" customHeight="1">
      <c r="A106" s="22" t="s">
        <v>51</v>
      </c>
      <c r="B106" s="26" t="s">
        <v>90</v>
      </c>
      <c r="C106" s="26" t="s">
        <v>42</v>
      </c>
      <c r="D106" s="11" t="s">
        <v>14</v>
      </c>
      <c r="E106" s="26" t="s">
        <v>91</v>
      </c>
      <c r="F106" s="26" t="s">
        <v>43</v>
      </c>
      <c r="G106" s="11" t="s">
        <v>14</v>
      </c>
      <c r="H106" s="13" t="s">
        <v>15</v>
      </c>
    </row>
    <row r="107" ht="13.5" customHeight="1">
      <c r="A107" s="22" t="s">
        <v>51</v>
      </c>
      <c r="B107" s="26" t="s">
        <v>127</v>
      </c>
      <c r="C107" s="26" t="s">
        <v>42</v>
      </c>
      <c r="D107" s="11" t="s">
        <v>14</v>
      </c>
      <c r="E107" s="26" t="s">
        <v>95</v>
      </c>
      <c r="F107" s="26" t="s">
        <v>43</v>
      </c>
      <c r="G107" s="11" t="s">
        <v>14</v>
      </c>
      <c r="H107" s="13" t="s">
        <v>15</v>
      </c>
    </row>
    <row r="108" ht="13.5" customHeight="1">
      <c r="A108" s="25" t="s">
        <v>60</v>
      </c>
      <c r="D108" s="13" t="s">
        <v>15</v>
      </c>
      <c r="E108" s="26" t="s">
        <v>43</v>
      </c>
      <c r="F108" s="26" t="s">
        <v>144</v>
      </c>
      <c r="G108" s="11" t="s">
        <v>14</v>
      </c>
      <c r="H108" s="13" t="s">
        <v>15</v>
      </c>
    </row>
    <row r="109" ht="13.5" customHeight="1">
      <c r="A109" s="25" t="s">
        <v>60</v>
      </c>
      <c r="B109" s="26" t="s">
        <v>42</v>
      </c>
      <c r="C109" s="26" t="s">
        <v>129</v>
      </c>
      <c r="D109" s="11" t="s">
        <v>14</v>
      </c>
      <c r="E109" s="26" t="s">
        <v>43</v>
      </c>
      <c r="F109" s="26" t="s">
        <v>129</v>
      </c>
      <c r="G109" s="11" t="s">
        <v>14</v>
      </c>
      <c r="H109" s="13" t="s">
        <v>15</v>
      </c>
    </row>
    <row r="110" ht="13.5" customHeight="1">
      <c r="A110" s="25" t="s">
        <v>60</v>
      </c>
      <c r="B110" s="26" t="s">
        <v>42</v>
      </c>
      <c r="C110" s="26" t="s">
        <v>130</v>
      </c>
      <c r="D110" s="11" t="s">
        <v>14</v>
      </c>
      <c r="E110" s="26" t="s">
        <v>43</v>
      </c>
      <c r="F110" s="26" t="s">
        <v>130</v>
      </c>
      <c r="G110" s="11" t="s">
        <v>14</v>
      </c>
      <c r="H110" s="13" t="s">
        <v>15</v>
      </c>
    </row>
    <row r="111" ht="13.5" customHeight="1">
      <c r="D111" s="12"/>
      <c r="G111" s="12"/>
    </row>
    <row r="112" ht="13.5" customHeight="1">
      <c r="B112" s="7" t="s">
        <v>44</v>
      </c>
      <c r="D112" s="7">
        <f>COUNTIF(D113:D118,"YES")</f>
        <v>5</v>
      </c>
      <c r="E112" s="7" t="s">
        <v>45</v>
      </c>
      <c r="G112" s="7">
        <f t="shared" ref="G112:H112" si="14">COUNTIF(G113:G118,"YES")</f>
        <v>4</v>
      </c>
      <c r="H112" s="7">
        <f t="shared" si="14"/>
        <v>0</v>
      </c>
    </row>
    <row r="113" ht="13.5" customHeight="1">
      <c r="A113" s="22" t="s">
        <v>51</v>
      </c>
      <c r="B113" s="26" t="s">
        <v>129</v>
      </c>
      <c r="C113" s="26" t="s">
        <v>44</v>
      </c>
      <c r="D113" s="11" t="s">
        <v>14</v>
      </c>
      <c r="E113" s="26" t="s">
        <v>129</v>
      </c>
      <c r="F113" s="26" t="s">
        <v>45</v>
      </c>
      <c r="G113" s="11" t="s">
        <v>14</v>
      </c>
      <c r="H113" s="13" t="s">
        <v>15</v>
      </c>
    </row>
    <row r="114" ht="13.5" customHeight="1">
      <c r="A114" s="22" t="s">
        <v>51</v>
      </c>
      <c r="B114" s="26" t="s">
        <v>74</v>
      </c>
      <c r="C114" s="26" t="s">
        <v>44</v>
      </c>
      <c r="D114" s="11" t="s">
        <v>14</v>
      </c>
      <c r="E114" s="26" t="s">
        <v>75</v>
      </c>
      <c r="F114" s="26" t="s">
        <v>45</v>
      </c>
      <c r="G114" s="11" t="s">
        <v>14</v>
      </c>
      <c r="H114" s="13" t="s">
        <v>15</v>
      </c>
    </row>
    <row r="115" ht="13.5" customHeight="1">
      <c r="A115" s="22" t="s">
        <v>51</v>
      </c>
      <c r="D115" s="13" t="s">
        <v>15</v>
      </c>
      <c r="E115" s="26" t="s">
        <v>144</v>
      </c>
      <c r="F115" s="26" t="s">
        <v>45</v>
      </c>
      <c r="G115" s="11" t="s">
        <v>14</v>
      </c>
      <c r="H115" s="13" t="s">
        <v>15</v>
      </c>
    </row>
    <row r="116" ht="13.5" customHeight="1">
      <c r="A116" s="22" t="s">
        <v>51</v>
      </c>
      <c r="B116" s="26" t="s">
        <v>121</v>
      </c>
      <c r="C116" s="26" t="s">
        <v>44</v>
      </c>
      <c r="D116" s="11" t="s">
        <v>14</v>
      </c>
      <c r="G116" s="13" t="s">
        <v>15</v>
      </c>
      <c r="H116" s="13" t="s">
        <v>15</v>
      </c>
    </row>
    <row r="117" ht="13.5" customHeight="1">
      <c r="A117" s="22" t="s">
        <v>51</v>
      </c>
      <c r="B117" s="26" t="s">
        <v>123</v>
      </c>
      <c r="C117" s="26" t="s">
        <v>44</v>
      </c>
      <c r="D117" s="11" t="s">
        <v>14</v>
      </c>
      <c r="G117" s="13" t="s">
        <v>15</v>
      </c>
      <c r="H117" s="13" t="s">
        <v>15</v>
      </c>
    </row>
    <row r="118" ht="13.5" customHeight="1">
      <c r="A118" s="25" t="s">
        <v>60</v>
      </c>
      <c r="B118" s="26" t="s">
        <v>44</v>
      </c>
      <c r="C118" s="26" t="s">
        <v>58</v>
      </c>
      <c r="D118" s="11" t="s">
        <v>14</v>
      </c>
      <c r="E118" s="26" t="s">
        <v>45</v>
      </c>
      <c r="F118" s="26" t="s">
        <v>59</v>
      </c>
      <c r="G118" s="11" t="s">
        <v>14</v>
      </c>
      <c r="H118" s="13" t="s">
        <v>15</v>
      </c>
    </row>
    <row r="119" ht="13.5" customHeight="1">
      <c r="D119" s="12"/>
      <c r="G119" s="12"/>
    </row>
    <row r="120" ht="13.5" customHeight="1">
      <c r="B120" s="7" t="s">
        <v>46</v>
      </c>
      <c r="D120" s="7">
        <f>COUNTIF(D121:D128,"YES")</f>
        <v>7</v>
      </c>
      <c r="E120" s="7" t="s">
        <v>47</v>
      </c>
      <c r="G120" s="7">
        <f t="shared" ref="G120:H120" si="15">COUNTIF(G121:G128,"YES")</f>
        <v>6</v>
      </c>
      <c r="H120" s="7">
        <f t="shared" si="15"/>
        <v>0</v>
      </c>
    </row>
    <row r="121" ht="13.5" customHeight="1">
      <c r="A121" s="22" t="s">
        <v>51</v>
      </c>
      <c r="B121" s="26" t="s">
        <v>130</v>
      </c>
      <c r="C121" s="26" t="s">
        <v>46</v>
      </c>
      <c r="D121" s="11" t="s">
        <v>14</v>
      </c>
      <c r="E121" s="26" t="s">
        <v>130</v>
      </c>
      <c r="F121" s="26" t="s">
        <v>47</v>
      </c>
      <c r="G121" s="11" t="s">
        <v>14</v>
      </c>
      <c r="H121" s="13" t="s">
        <v>15</v>
      </c>
    </row>
    <row r="122" ht="13.5" customHeight="1">
      <c r="A122" s="22" t="s">
        <v>51</v>
      </c>
      <c r="B122" s="26" t="s">
        <v>98</v>
      </c>
      <c r="C122" s="26" t="s">
        <v>46</v>
      </c>
      <c r="D122" s="11" t="s">
        <v>14</v>
      </c>
      <c r="E122" s="26" t="s">
        <v>99</v>
      </c>
      <c r="F122" s="26" t="s">
        <v>47</v>
      </c>
      <c r="G122" s="11" t="s">
        <v>14</v>
      </c>
      <c r="H122" s="13" t="s">
        <v>15</v>
      </c>
    </row>
    <row r="123" ht="13.5" customHeight="1">
      <c r="A123" s="22" t="s">
        <v>51</v>
      </c>
      <c r="B123" s="26" t="s">
        <v>100</v>
      </c>
      <c r="C123" s="26" t="s">
        <v>46</v>
      </c>
      <c r="D123" s="11" t="s">
        <v>14</v>
      </c>
      <c r="E123" s="26" t="s">
        <v>101</v>
      </c>
      <c r="F123" s="26" t="s">
        <v>47</v>
      </c>
      <c r="G123" s="11" t="s">
        <v>14</v>
      </c>
      <c r="H123" s="13" t="s">
        <v>15</v>
      </c>
    </row>
    <row r="124" ht="13.5" customHeight="1">
      <c r="A124" s="22" t="s">
        <v>51</v>
      </c>
      <c r="B124" s="26" t="s">
        <v>74</v>
      </c>
      <c r="C124" s="26" t="s">
        <v>46</v>
      </c>
      <c r="D124" s="11" t="s">
        <v>14</v>
      </c>
      <c r="E124" s="26" t="s">
        <v>75</v>
      </c>
      <c r="F124" s="26" t="s">
        <v>47</v>
      </c>
      <c r="G124" s="11" t="s">
        <v>14</v>
      </c>
      <c r="H124" s="13" t="s">
        <v>15</v>
      </c>
    </row>
    <row r="125" ht="13.5" customHeight="1">
      <c r="A125" s="22" t="s">
        <v>51</v>
      </c>
      <c r="D125" s="13" t="s">
        <v>15</v>
      </c>
      <c r="E125" s="26" t="s">
        <v>144</v>
      </c>
      <c r="F125" s="26" t="s">
        <v>47</v>
      </c>
      <c r="G125" s="11" t="s">
        <v>14</v>
      </c>
      <c r="H125" s="13" t="s">
        <v>15</v>
      </c>
    </row>
    <row r="126" ht="13.5" customHeight="1">
      <c r="A126" s="22" t="s">
        <v>51</v>
      </c>
      <c r="B126" s="26" t="s">
        <v>121</v>
      </c>
      <c r="C126" s="26" t="s">
        <v>46</v>
      </c>
      <c r="D126" s="11" t="s">
        <v>14</v>
      </c>
      <c r="G126" s="13" t="s">
        <v>15</v>
      </c>
      <c r="H126" s="13" t="s">
        <v>15</v>
      </c>
    </row>
    <row r="127" ht="13.5" customHeight="1">
      <c r="A127" s="22" t="s">
        <v>51</v>
      </c>
      <c r="B127" s="26" t="s">
        <v>123</v>
      </c>
      <c r="C127" s="26" t="s">
        <v>46</v>
      </c>
      <c r="D127" s="11" t="s">
        <v>14</v>
      </c>
      <c r="G127" s="13" t="s">
        <v>15</v>
      </c>
      <c r="H127" s="13" t="s">
        <v>15</v>
      </c>
    </row>
    <row r="128" ht="13.5" customHeight="1">
      <c r="A128" s="25" t="s">
        <v>60</v>
      </c>
      <c r="B128" s="26" t="s">
        <v>46</v>
      </c>
      <c r="C128" s="26" t="s">
        <v>61</v>
      </c>
      <c r="D128" s="11" t="s">
        <v>14</v>
      </c>
      <c r="E128" s="26" t="s">
        <v>47</v>
      </c>
      <c r="F128" s="26" t="s">
        <v>62</v>
      </c>
      <c r="G128" s="11" t="s">
        <v>14</v>
      </c>
      <c r="H128" s="13" t="s">
        <v>15</v>
      </c>
    </row>
    <row r="129" ht="13.5" customHeight="1"/>
    <row r="130" ht="13.5" customHeight="1">
      <c r="B130" s="7" t="s">
        <v>167</v>
      </c>
      <c r="I130" s="30" t="s">
        <v>168</v>
      </c>
    </row>
    <row r="131" ht="13.5" customHeight="1">
      <c r="A131" s="22" t="s">
        <v>51</v>
      </c>
      <c r="B131" s="12" t="s">
        <v>132</v>
      </c>
      <c r="C131" s="26" t="s">
        <v>49</v>
      </c>
      <c r="D131" s="11" t="s">
        <v>133</v>
      </c>
      <c r="G131" s="13" t="s">
        <v>15</v>
      </c>
      <c r="H131" s="13" t="s">
        <v>15</v>
      </c>
    </row>
    <row r="132" ht="13.5" customHeight="1">
      <c r="A132" s="22" t="s">
        <v>51</v>
      </c>
      <c r="B132" s="12" t="s">
        <v>135</v>
      </c>
      <c r="C132" s="26" t="s">
        <v>52</v>
      </c>
      <c r="D132" s="11" t="s">
        <v>133</v>
      </c>
      <c r="G132" s="13" t="s">
        <v>15</v>
      </c>
      <c r="H132" s="13" t="s">
        <v>15</v>
      </c>
    </row>
    <row r="133" ht="13.5" customHeight="1">
      <c r="A133" s="22" t="s">
        <v>51</v>
      </c>
      <c r="B133" s="12" t="s">
        <v>137</v>
      </c>
      <c r="C133" s="26" t="s">
        <v>54</v>
      </c>
      <c r="D133" s="11" t="s">
        <v>133</v>
      </c>
      <c r="G133" s="13" t="s">
        <v>15</v>
      </c>
      <c r="H133" s="13" t="s">
        <v>15</v>
      </c>
    </row>
    <row r="134" ht="13.5" customHeight="1">
      <c r="A134" s="22" t="s">
        <v>51</v>
      </c>
      <c r="B134" s="12" t="s">
        <v>136</v>
      </c>
      <c r="C134" s="26" t="s">
        <v>56</v>
      </c>
      <c r="D134" s="11" t="s">
        <v>133</v>
      </c>
      <c r="G134" s="13" t="s">
        <v>15</v>
      </c>
      <c r="H134" s="13" t="s">
        <v>15</v>
      </c>
    </row>
    <row r="135" ht="13.5" customHeight="1"/>
    <row r="136" ht="13.5" customHeight="1">
      <c r="B136" s="7" t="s">
        <v>169</v>
      </c>
      <c r="I136" s="30" t="s">
        <v>170</v>
      </c>
    </row>
    <row r="137" ht="13.5" customHeight="1">
      <c r="A137" s="25" t="s">
        <v>60</v>
      </c>
      <c r="B137" s="12" t="s">
        <v>58</v>
      </c>
      <c r="C137" s="12" t="s">
        <v>139</v>
      </c>
      <c r="D137" s="11" t="s">
        <v>133</v>
      </c>
      <c r="G137" s="13" t="s">
        <v>15</v>
      </c>
      <c r="H137" s="13" t="s">
        <v>15</v>
      </c>
    </row>
    <row r="138" ht="13.5" customHeight="1">
      <c r="A138" s="25" t="s">
        <v>60</v>
      </c>
      <c r="B138" s="12" t="s">
        <v>61</v>
      </c>
      <c r="C138" s="12" t="s">
        <v>141</v>
      </c>
      <c r="D138" s="11" t="s">
        <v>133</v>
      </c>
      <c r="G138" s="13" t="s">
        <v>15</v>
      </c>
      <c r="H138" s="13" t="s">
        <v>15</v>
      </c>
    </row>
    <row r="139" ht="13.5" customHeight="1">
      <c r="A139" s="25" t="s">
        <v>60</v>
      </c>
      <c r="B139" s="12" t="s">
        <v>63</v>
      </c>
      <c r="C139" s="12" t="s">
        <v>142</v>
      </c>
      <c r="D139" s="11" t="s">
        <v>133</v>
      </c>
      <c r="G139" s="13" t="s">
        <v>15</v>
      </c>
      <c r="H139" s="13" t="s">
        <v>15</v>
      </c>
    </row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9.14"/>
    <col customWidth="1" min="3" max="3" width="11.29"/>
    <col customWidth="1" min="4" max="6" width="9.14"/>
  </cols>
  <sheetData>
    <row r="1" ht="13.5" customHeight="1">
      <c r="A1" s="7" t="s">
        <v>171</v>
      </c>
      <c r="C1" s="19"/>
    </row>
    <row r="2" ht="13.5" customHeight="1">
      <c r="A2" s="26" t="s">
        <v>67</v>
      </c>
      <c r="B2" s="26">
        <f>COUNTIF(Nodes!K$3:K$74, "VAR")</f>
        <v>34</v>
      </c>
      <c r="C2" s="19"/>
    </row>
    <row r="3" ht="13.5" customHeight="1">
      <c r="A3" s="26" t="s">
        <v>18</v>
      </c>
      <c r="B3" s="26">
        <f>COUNTIF(Nodes!K$3:K$74, "FUNCTION")</f>
        <v>14</v>
      </c>
      <c r="C3" s="19"/>
    </row>
    <row r="4" ht="13.5" customHeight="1">
      <c r="A4" s="26" t="s">
        <v>51</v>
      </c>
      <c r="B4" s="26">
        <f>COUNTIF(Nodes!K$3:K$74, "INPUT")</f>
        <v>4</v>
      </c>
      <c r="C4" s="19"/>
    </row>
    <row r="5" ht="13.5" customHeight="1">
      <c r="A5" s="26" t="s">
        <v>60</v>
      </c>
      <c r="B5" s="26">
        <f>COUNTIF(Nodes!K$3:K$74, "OUTPUT")</f>
        <v>3</v>
      </c>
      <c r="C5" s="19"/>
    </row>
    <row r="6" ht="13.5" customHeight="1">
      <c r="A6" s="26" t="s">
        <v>172</v>
      </c>
      <c r="B6" s="26">
        <f>Nodes!B2</f>
        <v>11</v>
      </c>
      <c r="C6" s="19"/>
    </row>
    <row r="7" ht="13.5" customHeight="1">
      <c r="A7" s="26" t="s">
        <v>173</v>
      </c>
      <c r="B7" s="26">
        <f>Nodes!B15</f>
        <v>3</v>
      </c>
      <c r="C7" s="19"/>
    </row>
    <row r="8" ht="13.5" customHeight="1">
      <c r="C8" s="19"/>
    </row>
    <row r="9" ht="13.5" customHeight="1">
      <c r="C9" s="19"/>
    </row>
    <row r="10" ht="13.5" customHeight="1">
      <c r="C10" s="19"/>
    </row>
    <row r="11" ht="13.5" customHeight="1">
      <c r="A11" s="7" t="s">
        <v>174</v>
      </c>
      <c r="B11" s="7"/>
      <c r="C11" s="21"/>
      <c r="D11" s="7"/>
      <c r="E11" s="7"/>
      <c r="F11" s="7"/>
    </row>
    <row r="12" ht="13.5" customHeight="1">
      <c r="C12" s="19"/>
    </row>
    <row r="13" ht="13.5" customHeight="1">
      <c r="A13" s="26" t="s">
        <v>175</v>
      </c>
      <c r="B13" s="26">
        <f>COUNTIF(Nodes!B$3:B$74, "PORT")</f>
        <v>7</v>
      </c>
      <c r="C13" s="19"/>
      <c r="D13" s="26" t="s">
        <v>176</v>
      </c>
    </row>
    <row r="14" ht="13.5" customHeight="1">
      <c r="C14" s="19"/>
    </row>
    <row r="15" ht="13.5" customHeight="1">
      <c r="A15" s="26" t="s">
        <v>177</v>
      </c>
      <c r="B15" s="26">
        <f>COUNTIFS(Nodes!B$3:B$74, "YES", Nodes!F$3:F$74, "NO")</f>
        <v>0</v>
      </c>
      <c r="C15" s="19" t="s">
        <v>11</v>
      </c>
    </row>
    <row r="16" ht="13.5" customHeight="1">
      <c r="A16" s="26" t="s">
        <v>178</v>
      </c>
      <c r="B16" s="26">
        <f>COUNTIFS(Nodes!B$3:B$74, "NO", Nodes!F$3:F$74, "YES")</f>
        <v>1</v>
      </c>
      <c r="C16" s="19" t="s">
        <v>12</v>
      </c>
    </row>
    <row r="17" ht="13.5" customHeight="1">
      <c r="A17" s="26" t="s">
        <v>179</v>
      </c>
      <c r="B17" s="26">
        <f>COUNTIFS(Nodes!B$3:B$74, "YES", Nodes!F$3:F$74, "YES")</f>
        <v>54</v>
      </c>
      <c r="C17" s="19" t="s">
        <v>10</v>
      </c>
    </row>
    <row r="18" ht="13.5" customHeight="1">
      <c r="C18" s="19"/>
    </row>
    <row r="19" ht="13.5" customHeight="1">
      <c r="A19" s="26" t="s">
        <v>180</v>
      </c>
      <c r="B19" s="26">
        <f>B15+B17</f>
        <v>54</v>
      </c>
      <c r="C19" s="19"/>
    </row>
    <row r="20" ht="13.5" customHeight="1">
      <c r="A20" s="26" t="s">
        <v>181</v>
      </c>
      <c r="B20" s="26">
        <f>B16+B17</f>
        <v>55</v>
      </c>
      <c r="C20" s="19"/>
    </row>
    <row r="21" ht="13.5" customHeight="1">
      <c r="C21" s="19"/>
    </row>
    <row r="22" ht="13.5" customHeight="1">
      <c r="A22" s="26" t="s">
        <v>182</v>
      </c>
      <c r="B22" s="26">
        <f>B17/(B17 + B16)</f>
        <v>0.9818181818</v>
      </c>
      <c r="C22" s="19" t="s">
        <v>183</v>
      </c>
    </row>
    <row r="23" ht="13.5" customHeight="1">
      <c r="A23" s="26" t="s">
        <v>184</v>
      </c>
      <c r="B23" s="26">
        <f>B17/(B17+B15+7)</f>
        <v>0.8852459016</v>
      </c>
      <c r="C23" s="19" t="s">
        <v>185</v>
      </c>
    </row>
    <row r="24" ht="13.5" customHeight="1">
      <c r="A24" s="29" t="s">
        <v>186</v>
      </c>
      <c r="B24" s="23">
        <f>2/((1/B23)+(1/B22))</f>
        <v>0.9310344828</v>
      </c>
      <c r="C24" s="19"/>
    </row>
    <row r="25" ht="13.5" customHeight="1">
      <c r="C25" s="19"/>
    </row>
    <row r="26" ht="13.5" customHeight="1">
      <c r="C26" s="19"/>
    </row>
    <row r="27" ht="13.5" customHeight="1">
      <c r="A27" s="7" t="s">
        <v>187</v>
      </c>
      <c r="B27" s="7"/>
      <c r="C27" s="21"/>
      <c r="D27" s="7"/>
      <c r="E27" s="7"/>
      <c r="F27" s="7"/>
    </row>
    <row r="28" ht="13.5" customHeight="1">
      <c r="C28" s="19"/>
    </row>
    <row r="29" ht="13.5" customHeight="1">
      <c r="A29" s="26" t="s">
        <v>175</v>
      </c>
      <c r="B29" s="26">
        <f>COUNTIF(Edges!D5:D139, "PORT")</f>
        <v>7</v>
      </c>
      <c r="C29" s="19"/>
      <c r="D29" s="26" t="s">
        <v>176</v>
      </c>
    </row>
    <row r="30" ht="13.5" customHeight="1">
      <c r="C30" s="19"/>
    </row>
    <row r="31" ht="13.5" customHeight="1">
      <c r="A31" s="26" t="s">
        <v>177</v>
      </c>
      <c r="B31" s="26">
        <f>COUNTIFS(Edges!D5:D139, "YES", Edges!G5:G139, "NO")</f>
        <v>4</v>
      </c>
      <c r="C31" s="19" t="s">
        <v>11</v>
      </c>
    </row>
    <row r="32" ht="13.5" customHeight="1">
      <c r="A32" s="26" t="s">
        <v>178</v>
      </c>
      <c r="B32" s="26">
        <f>COUNTIFS(Edges!D6:D140, "NO", Edges!G6:G140, "YES")</f>
        <v>3</v>
      </c>
      <c r="C32" s="19" t="s">
        <v>12</v>
      </c>
    </row>
    <row r="33" ht="13.5" customHeight="1">
      <c r="A33" s="26" t="s">
        <v>179</v>
      </c>
      <c r="B33" s="26">
        <f>COUNTIFS(Edges!D7:D141, "YES", Edges!G7:G141, "YES")</f>
        <v>89</v>
      </c>
      <c r="C33" s="19" t="s">
        <v>10</v>
      </c>
    </row>
    <row r="34" ht="13.5" customHeight="1">
      <c r="C34" s="19"/>
    </row>
    <row r="35" ht="13.5" customHeight="1">
      <c r="A35" s="26" t="s">
        <v>180</v>
      </c>
      <c r="B35" s="26">
        <f>B31+B33</f>
        <v>93</v>
      </c>
      <c r="C35" s="19"/>
    </row>
    <row r="36" ht="13.5" customHeight="1">
      <c r="A36" s="26" t="s">
        <v>181</v>
      </c>
      <c r="B36" s="26">
        <f>B32+B33</f>
        <v>92</v>
      </c>
      <c r="C36" s="19"/>
    </row>
    <row r="37" ht="13.5" customHeight="1">
      <c r="C37" s="19"/>
    </row>
    <row r="38" ht="13.5" customHeight="1">
      <c r="A38" s="26" t="s">
        <v>182</v>
      </c>
      <c r="B38" s="26">
        <f>B33/(B33 + B32)</f>
        <v>0.9673913043</v>
      </c>
      <c r="C38" s="19" t="s">
        <v>183</v>
      </c>
    </row>
    <row r="39" ht="13.5" customHeight="1">
      <c r="A39" s="26" t="s">
        <v>184</v>
      </c>
      <c r="B39" s="26">
        <f>B33/(B33+B31)</f>
        <v>0.9569892473</v>
      </c>
      <c r="C39" s="19" t="s">
        <v>185</v>
      </c>
    </row>
    <row r="40" ht="13.5" customHeight="1">
      <c r="C40" s="19"/>
    </row>
    <row r="41" ht="13.5" customHeight="1">
      <c r="C41" s="19"/>
    </row>
    <row r="42" ht="13.5" customHeight="1">
      <c r="C42" s="19"/>
    </row>
    <row r="43" ht="13.5" customHeight="1">
      <c r="A43" s="7" t="s">
        <v>188</v>
      </c>
      <c r="C43" s="19"/>
    </row>
    <row r="44" ht="13.5" customHeight="1">
      <c r="C44" s="19"/>
    </row>
    <row r="45" ht="13.5" customHeight="1">
      <c r="A45" s="26" t="s">
        <v>175</v>
      </c>
      <c r="B45" s="26">
        <f>COUNTIF(Nodes!B$3:B$74, "PORT")</f>
        <v>7</v>
      </c>
      <c r="C45" s="19"/>
      <c r="D45" s="26" t="s">
        <v>176</v>
      </c>
    </row>
    <row r="46" ht="13.5" customHeight="1">
      <c r="A46" s="26" t="s">
        <v>189</v>
      </c>
      <c r="B46" s="26">
        <v>720.0</v>
      </c>
      <c r="C46" s="19"/>
    </row>
    <row r="47" ht="13.5" customHeight="1">
      <c r="C47" s="19"/>
    </row>
    <row r="48" ht="13.5" customHeight="1">
      <c r="A48" s="26" t="s">
        <v>177</v>
      </c>
      <c r="B48" s="26">
        <f>COUNTIFS(Nodes!B$3:B$74, "YES", Nodes!D$3:D$74, "NO")</f>
        <v>14</v>
      </c>
      <c r="C48" s="19" t="s">
        <v>11</v>
      </c>
    </row>
    <row r="49" ht="13.5" customHeight="1">
      <c r="A49" s="26" t="s">
        <v>190</v>
      </c>
      <c r="B49" s="26">
        <f>B46-B50</f>
        <v>680</v>
      </c>
      <c r="C49" s="19" t="s">
        <v>12</v>
      </c>
    </row>
    <row r="50" ht="13.5" customHeight="1">
      <c r="A50" s="26" t="s">
        <v>191</v>
      </c>
      <c r="B50" s="26">
        <f>COUNTIFS(Nodes!B$3:B$74, "YES", Nodes!D$3:D$74, "YES")</f>
        <v>40</v>
      </c>
      <c r="C50" s="19" t="s">
        <v>10</v>
      </c>
    </row>
    <row r="51" ht="13.5" customHeight="1">
      <c r="C51" s="19"/>
    </row>
    <row r="52" ht="13.5" customHeight="1">
      <c r="A52" s="26" t="s">
        <v>180</v>
      </c>
      <c r="B52" s="26">
        <f>B48+B50</f>
        <v>54</v>
      </c>
      <c r="C52" s="19"/>
    </row>
    <row r="53" ht="13.5" customHeight="1">
      <c r="A53" s="26" t="s">
        <v>181</v>
      </c>
      <c r="B53" s="26">
        <f>B49+B50</f>
        <v>720</v>
      </c>
      <c r="C53" s="19"/>
    </row>
    <row r="54" ht="13.5" customHeight="1">
      <c r="C54" s="19"/>
    </row>
    <row r="55" ht="13.5" customHeight="1">
      <c r="A55" s="26" t="s">
        <v>182</v>
      </c>
      <c r="B55" s="26">
        <f>B50/(B50 + B49)</f>
        <v>0.05555555556</v>
      </c>
      <c r="C55" s="19" t="s">
        <v>183</v>
      </c>
    </row>
    <row r="56" ht="13.5" customHeight="1">
      <c r="A56" s="26" t="s">
        <v>184</v>
      </c>
      <c r="B56" s="26">
        <f>B50/(B50+B48+7)</f>
        <v>0.6557377049</v>
      </c>
      <c r="C56" s="19" t="s">
        <v>185</v>
      </c>
    </row>
    <row r="57" ht="13.5" customHeight="1">
      <c r="A57" s="29" t="s">
        <v>186</v>
      </c>
      <c r="B57" s="23">
        <f>2/((1/B56)+(1/B55))</f>
        <v>0.1024327785</v>
      </c>
      <c r="C57" s="19"/>
    </row>
    <row r="58" ht="13.5" customHeight="1">
      <c r="C58" s="19"/>
    </row>
    <row r="59" ht="13.5" customHeight="1">
      <c r="C59" s="19"/>
    </row>
    <row r="60" ht="13.5" customHeight="1">
      <c r="A60" s="7" t="s">
        <v>192</v>
      </c>
      <c r="C60" s="19"/>
    </row>
    <row r="61" ht="13.5" customHeight="1">
      <c r="C61" s="19"/>
    </row>
    <row r="62" ht="13.5" customHeight="1">
      <c r="A62" s="26" t="s">
        <v>175</v>
      </c>
      <c r="B62" s="12">
        <f>COUNTIF(Edges!D5:D139, "PORT")</f>
        <v>7</v>
      </c>
      <c r="C62" s="19"/>
    </row>
    <row r="63" ht="13.5" customHeight="1">
      <c r="A63" s="26" t="s">
        <v>193</v>
      </c>
      <c r="B63" s="26">
        <v>1388.0</v>
      </c>
      <c r="C63" s="19"/>
    </row>
    <row r="64" ht="13.5" customHeight="1">
      <c r="C64" s="19"/>
      <c r="D64" s="7"/>
      <c r="E64" s="7"/>
    </row>
    <row r="65" ht="13.5" customHeight="1">
      <c r="A65" s="26" t="s">
        <v>177</v>
      </c>
      <c r="B65" s="26">
        <f>COUNTIFS(Edges!D5:D139, "YES", Edges!H5:H139, "NO")</f>
        <v>95</v>
      </c>
      <c r="C65" s="19" t="s">
        <v>11</v>
      </c>
    </row>
    <row r="66" ht="13.5" customHeight="1">
      <c r="A66" s="26" t="s">
        <v>190</v>
      </c>
      <c r="B66" s="26">
        <f>B63-B67</f>
        <v>1388</v>
      </c>
      <c r="C66" s="19" t="s">
        <v>12</v>
      </c>
    </row>
    <row r="67" ht="13.5" customHeight="1">
      <c r="A67" s="26" t="s">
        <v>191</v>
      </c>
      <c r="B67" s="12">
        <f>COUNTIFS(Edges!D5:D139, "YES", Edges!H5:H139, "YES")</f>
        <v>0</v>
      </c>
      <c r="C67" s="19" t="s">
        <v>10</v>
      </c>
    </row>
    <row r="68" ht="13.5" customHeight="1">
      <c r="C68" s="19"/>
    </row>
    <row r="69" ht="13.5" customHeight="1">
      <c r="A69" s="26" t="s">
        <v>180</v>
      </c>
      <c r="B69" s="26">
        <f>B65+B67</f>
        <v>95</v>
      </c>
      <c r="C69" s="19"/>
    </row>
    <row r="70" ht="13.5" customHeight="1">
      <c r="A70" s="26" t="s">
        <v>181</v>
      </c>
      <c r="B70" s="26">
        <f>B66+B67</f>
        <v>1388</v>
      </c>
      <c r="C70" s="19"/>
    </row>
    <row r="71" ht="13.5" customHeight="1">
      <c r="C71" s="19"/>
    </row>
    <row r="72" ht="13.5" customHeight="1">
      <c r="A72" s="26" t="s">
        <v>182</v>
      </c>
      <c r="B72" s="26">
        <f>B67/(B67 + B66)</f>
        <v>0</v>
      </c>
      <c r="C72" s="19" t="s">
        <v>183</v>
      </c>
    </row>
    <row r="73" ht="13.5" customHeight="1">
      <c r="A73" s="26" t="s">
        <v>184</v>
      </c>
      <c r="B73" s="26">
        <f>B67/(B67+B65)</f>
        <v>0</v>
      </c>
      <c r="C73" s="19" t="s">
        <v>185</v>
      </c>
    </row>
    <row r="74" ht="13.5" customHeight="1">
      <c r="C74" s="19"/>
    </row>
    <row r="75" ht="13.5" customHeight="1">
      <c r="A75" s="32" t="s">
        <v>194</v>
      </c>
      <c r="C75" s="19"/>
    </row>
    <row r="76" ht="13.5" customHeight="1">
      <c r="C76" s="19"/>
    </row>
    <row r="77" ht="13.5" customHeight="1">
      <c r="A77" s="26" t="s">
        <v>175</v>
      </c>
      <c r="B77" s="26">
        <f>COUNTIF(Nodes!B$3:B$74, "PORT")</f>
        <v>7</v>
      </c>
      <c r="C77" s="19"/>
      <c r="D77" s="26" t="s">
        <v>176</v>
      </c>
    </row>
    <row r="78" ht="13.5" customHeight="1">
      <c r="C78" s="19"/>
    </row>
    <row r="79" ht="13.5" customHeight="1">
      <c r="A79" s="26" t="s">
        <v>177</v>
      </c>
      <c r="B79" s="33">
        <v>11.56</v>
      </c>
      <c r="C79" s="19" t="s">
        <v>11</v>
      </c>
    </row>
    <row r="80" ht="13.5" customHeight="1">
      <c r="A80" s="26" t="s">
        <v>178</v>
      </c>
      <c r="B80" s="33">
        <v>4.16</v>
      </c>
      <c r="C80" s="19" t="s">
        <v>12</v>
      </c>
    </row>
    <row r="81" ht="13.5" customHeight="1">
      <c r="A81" s="26" t="s">
        <v>179</v>
      </c>
      <c r="B81" s="33">
        <v>42.44</v>
      </c>
      <c r="C81" s="19" t="s">
        <v>10</v>
      </c>
    </row>
    <row r="82" ht="13.5" customHeight="1">
      <c r="C82" s="19"/>
    </row>
    <row r="83" ht="13.5" customHeight="1">
      <c r="A83" s="26" t="s">
        <v>180</v>
      </c>
      <c r="B83" s="26">
        <f>B79+B81</f>
        <v>54</v>
      </c>
      <c r="C83" s="19"/>
    </row>
    <row r="84" ht="13.5" customHeight="1">
      <c r="A84" s="26" t="s">
        <v>181</v>
      </c>
      <c r="B84" s="26">
        <f>B80+B81</f>
        <v>46.6</v>
      </c>
      <c r="C84" s="19"/>
    </row>
    <row r="85" ht="13.5" customHeight="1">
      <c r="C85" s="19"/>
    </row>
    <row r="86" ht="13.5" customHeight="1">
      <c r="A86" s="26" t="s">
        <v>182</v>
      </c>
      <c r="B86" s="26">
        <f>B81/(B81 + B80)</f>
        <v>0.9107296137</v>
      </c>
      <c r="C86" s="19" t="s">
        <v>183</v>
      </c>
    </row>
    <row r="87" ht="13.5" customHeight="1">
      <c r="A87" s="26" t="s">
        <v>184</v>
      </c>
      <c r="B87" s="26">
        <f>B81/(B81+B79+7)</f>
        <v>0.6957377049</v>
      </c>
      <c r="C87" s="19" t="s">
        <v>185</v>
      </c>
    </row>
    <row r="88" ht="13.5" customHeight="1">
      <c r="A88" s="29" t="s">
        <v>186</v>
      </c>
      <c r="B88" s="23">
        <f>2/((1/B87)+(1/B86))</f>
        <v>0.7888475836</v>
      </c>
      <c r="C88" s="19"/>
    </row>
    <row r="89" ht="13.5" customHeight="1">
      <c r="C89" s="19"/>
    </row>
    <row r="90" ht="13.5" customHeight="1">
      <c r="C90" s="19"/>
    </row>
    <row r="91" ht="13.5" customHeight="1">
      <c r="C91" s="19"/>
    </row>
    <row r="92" ht="13.5" customHeight="1">
      <c r="C92" s="19"/>
    </row>
    <row r="93" ht="13.5" customHeight="1">
      <c r="C93" s="19"/>
    </row>
    <row r="94" ht="13.5" customHeight="1">
      <c r="C94" s="19"/>
    </row>
    <row r="95" ht="13.5" customHeight="1">
      <c r="C95" s="19"/>
    </row>
    <row r="96" ht="13.5" customHeight="1">
      <c r="C96" s="19"/>
    </row>
    <row r="97" ht="13.5" customHeight="1">
      <c r="C97" s="19"/>
    </row>
    <row r="98" ht="13.5" customHeight="1">
      <c r="C98" s="19"/>
    </row>
    <row r="99" ht="13.5" customHeight="1">
      <c r="C99" s="19"/>
    </row>
    <row r="100" ht="13.5" customHeight="1">
      <c r="C100" s="19"/>
    </row>
    <row r="101" ht="13.5" customHeight="1">
      <c r="C101" s="19"/>
    </row>
    <row r="102" ht="13.5" customHeight="1">
      <c r="C102" s="19"/>
    </row>
    <row r="103" ht="13.5" customHeight="1">
      <c r="C103" s="19"/>
    </row>
    <row r="104" ht="13.5" customHeight="1">
      <c r="C104" s="19"/>
    </row>
    <row r="105" ht="13.5" customHeight="1">
      <c r="C105" s="19"/>
    </row>
    <row r="106" ht="13.5" customHeight="1">
      <c r="C106" s="19"/>
    </row>
    <row r="107" ht="13.5" customHeight="1">
      <c r="C107" s="19"/>
    </row>
    <row r="108" ht="13.5" customHeight="1">
      <c r="C108" s="19"/>
    </row>
    <row r="109" ht="13.5" customHeight="1">
      <c r="C109" s="19"/>
    </row>
    <row r="110" ht="13.5" customHeight="1">
      <c r="C110" s="19"/>
    </row>
    <row r="111" ht="13.5" customHeight="1">
      <c r="C111" s="19"/>
    </row>
    <row r="112" ht="13.5" customHeight="1">
      <c r="C112" s="19"/>
    </row>
    <row r="113" ht="13.5" customHeight="1">
      <c r="C113" s="19"/>
    </row>
    <row r="114" ht="13.5" customHeight="1">
      <c r="C114" s="19"/>
    </row>
    <row r="115" ht="13.5" customHeight="1">
      <c r="C115" s="19"/>
    </row>
    <row r="116" ht="13.5" customHeight="1">
      <c r="C116" s="19"/>
    </row>
    <row r="117" ht="13.5" customHeight="1">
      <c r="C117" s="19"/>
    </row>
    <row r="118" ht="13.5" customHeight="1">
      <c r="C118" s="19"/>
    </row>
    <row r="119" ht="13.5" customHeight="1">
      <c r="C119" s="19"/>
    </row>
    <row r="120" ht="13.5" customHeight="1">
      <c r="C120" s="19"/>
    </row>
    <row r="121" ht="13.5" customHeight="1">
      <c r="C121" s="19"/>
    </row>
    <row r="122" ht="13.5" customHeight="1">
      <c r="C122" s="19"/>
    </row>
    <row r="123" ht="13.5" customHeight="1">
      <c r="C123" s="19"/>
    </row>
    <row r="124" ht="13.5" customHeight="1">
      <c r="C124" s="19"/>
    </row>
    <row r="125" ht="13.5" customHeight="1">
      <c r="C125" s="19"/>
    </row>
    <row r="126" ht="13.5" customHeight="1">
      <c r="C126" s="19"/>
    </row>
    <row r="127" ht="13.5" customHeight="1">
      <c r="C127" s="19"/>
    </row>
    <row r="128" ht="13.5" customHeight="1">
      <c r="C128" s="19"/>
    </row>
    <row r="129" ht="13.5" customHeight="1">
      <c r="C129" s="19"/>
    </row>
    <row r="130" ht="13.5" customHeight="1">
      <c r="C130" s="19"/>
    </row>
    <row r="131" ht="13.5" customHeight="1">
      <c r="C131" s="19"/>
    </row>
    <row r="132" ht="13.5" customHeight="1">
      <c r="C132" s="19"/>
    </row>
    <row r="133" ht="13.5" customHeight="1">
      <c r="C133" s="19"/>
    </row>
    <row r="134" ht="13.5" customHeight="1">
      <c r="C134" s="19"/>
    </row>
    <row r="135" ht="13.5" customHeight="1">
      <c r="C135" s="19"/>
    </row>
    <row r="136" ht="13.5" customHeight="1">
      <c r="C136" s="19"/>
    </row>
    <row r="137" ht="13.5" customHeight="1">
      <c r="C137" s="19"/>
    </row>
    <row r="138" ht="13.5" customHeight="1">
      <c r="C138" s="19"/>
    </row>
    <row r="139" ht="13.5" customHeight="1">
      <c r="C139" s="19"/>
    </row>
    <row r="140" ht="13.5" customHeight="1">
      <c r="C140" s="19"/>
    </row>
    <row r="141" ht="13.5" customHeight="1">
      <c r="C141" s="19"/>
    </row>
    <row r="142" ht="13.5" customHeight="1">
      <c r="C142" s="19"/>
    </row>
    <row r="143" ht="13.5" customHeight="1">
      <c r="C143" s="19"/>
    </row>
    <row r="144" ht="13.5" customHeight="1">
      <c r="C144" s="19"/>
    </row>
    <row r="145" ht="13.5" customHeight="1">
      <c r="C145" s="19"/>
    </row>
    <row r="146" ht="13.5" customHeight="1">
      <c r="C146" s="19"/>
    </row>
    <row r="147" ht="13.5" customHeight="1">
      <c r="C147" s="19"/>
    </row>
    <row r="148" ht="13.5" customHeight="1">
      <c r="C148" s="19"/>
    </row>
    <row r="149" ht="13.5" customHeight="1">
      <c r="C149" s="19"/>
    </row>
    <row r="150" ht="13.5" customHeight="1">
      <c r="C150" s="19"/>
    </row>
    <row r="151" ht="13.5" customHeight="1">
      <c r="C151" s="19"/>
    </row>
    <row r="152" ht="13.5" customHeight="1">
      <c r="C152" s="19"/>
    </row>
    <row r="153" ht="13.5" customHeight="1">
      <c r="C153" s="19"/>
    </row>
    <row r="154" ht="13.5" customHeight="1">
      <c r="C154" s="19"/>
    </row>
    <row r="155" ht="13.5" customHeight="1">
      <c r="C155" s="19"/>
    </row>
    <row r="156" ht="13.5" customHeight="1">
      <c r="C156" s="19"/>
    </row>
    <row r="157" ht="13.5" customHeight="1">
      <c r="C157" s="19"/>
    </row>
    <row r="158" ht="13.5" customHeight="1">
      <c r="C158" s="19"/>
    </row>
    <row r="159" ht="13.5" customHeight="1">
      <c r="C159" s="19"/>
    </row>
    <row r="160" ht="13.5" customHeight="1">
      <c r="C160" s="19"/>
    </row>
    <row r="161" ht="13.5" customHeight="1">
      <c r="C161" s="19"/>
    </row>
    <row r="162" ht="13.5" customHeight="1">
      <c r="C162" s="19"/>
    </row>
    <row r="163" ht="13.5" customHeight="1">
      <c r="C163" s="19"/>
    </row>
    <row r="164" ht="13.5" customHeight="1">
      <c r="C164" s="19"/>
    </row>
    <row r="165" ht="13.5" customHeight="1">
      <c r="C165" s="19"/>
    </row>
    <row r="166" ht="13.5" customHeight="1">
      <c r="C166" s="19"/>
    </row>
    <row r="167" ht="13.5" customHeight="1">
      <c r="C167" s="19"/>
    </row>
    <row r="168" ht="13.5" customHeight="1">
      <c r="C168" s="19"/>
    </row>
    <row r="169" ht="13.5" customHeight="1">
      <c r="C169" s="19"/>
    </row>
    <row r="170" ht="13.5" customHeight="1">
      <c r="C170" s="19"/>
    </row>
    <row r="171" ht="13.5" customHeight="1">
      <c r="C171" s="19"/>
    </row>
    <row r="172" ht="13.5" customHeight="1">
      <c r="C172" s="19"/>
    </row>
    <row r="173" ht="13.5" customHeight="1">
      <c r="C173" s="19"/>
    </row>
    <row r="174" ht="13.5" customHeight="1">
      <c r="C174" s="19"/>
    </row>
    <row r="175" ht="13.5" customHeight="1">
      <c r="C175" s="19"/>
    </row>
    <row r="176" ht="13.5" customHeight="1">
      <c r="C176" s="19"/>
    </row>
    <row r="177" ht="13.5" customHeight="1">
      <c r="C177" s="19"/>
    </row>
    <row r="178" ht="13.5" customHeight="1">
      <c r="C178" s="19"/>
    </row>
    <row r="179" ht="13.5" customHeight="1">
      <c r="C179" s="19"/>
    </row>
    <row r="180" ht="13.5" customHeight="1">
      <c r="C180" s="19"/>
    </row>
    <row r="181" ht="13.5" customHeight="1">
      <c r="C181" s="19"/>
    </row>
    <row r="182" ht="13.5" customHeight="1">
      <c r="C182" s="19"/>
    </row>
    <row r="183" ht="13.5" customHeight="1">
      <c r="C183" s="19"/>
    </row>
    <row r="184" ht="13.5" customHeight="1">
      <c r="C184" s="19"/>
    </row>
    <row r="185" ht="13.5" customHeight="1">
      <c r="C185" s="19"/>
    </row>
    <row r="186" ht="13.5" customHeight="1">
      <c r="C186" s="19"/>
    </row>
    <row r="187" ht="13.5" customHeight="1">
      <c r="C187" s="19"/>
    </row>
    <row r="188" ht="13.5" customHeight="1">
      <c r="C188" s="19"/>
    </row>
    <row r="189" ht="13.5" customHeight="1">
      <c r="C189" s="19"/>
    </row>
    <row r="190" ht="13.5" customHeight="1">
      <c r="C190" s="19"/>
    </row>
    <row r="191" ht="13.5" customHeight="1">
      <c r="C191" s="19"/>
    </row>
    <row r="192" ht="13.5" customHeight="1">
      <c r="C192" s="19"/>
    </row>
    <row r="193" ht="13.5" customHeight="1">
      <c r="C193" s="19"/>
    </row>
    <row r="194" ht="13.5" customHeight="1">
      <c r="C194" s="19"/>
    </row>
    <row r="195" ht="13.5" customHeight="1">
      <c r="C195" s="19"/>
    </row>
    <row r="196" ht="13.5" customHeight="1">
      <c r="C196" s="19"/>
    </row>
    <row r="197" ht="13.5" customHeight="1">
      <c r="C197" s="19"/>
    </row>
    <row r="198" ht="13.5" customHeight="1">
      <c r="C198" s="19"/>
    </row>
    <row r="199" ht="13.5" customHeight="1">
      <c r="C199" s="19"/>
    </row>
    <row r="200" ht="13.5" customHeight="1">
      <c r="C200" s="19"/>
    </row>
    <row r="201" ht="13.5" customHeight="1">
      <c r="C201" s="19"/>
    </row>
    <row r="202" ht="13.5" customHeight="1">
      <c r="C202" s="19"/>
    </row>
    <row r="203" ht="13.5" customHeight="1">
      <c r="C203" s="19"/>
    </row>
    <row r="204" ht="13.5" customHeight="1">
      <c r="C204" s="19"/>
    </row>
    <row r="205" ht="13.5" customHeight="1">
      <c r="C205" s="19"/>
    </row>
    <row r="206" ht="13.5" customHeight="1">
      <c r="C206" s="19"/>
    </row>
    <row r="207" ht="13.5" customHeight="1">
      <c r="C207" s="19"/>
    </row>
    <row r="208" ht="13.5" customHeight="1">
      <c r="C208" s="19"/>
    </row>
    <row r="209" ht="13.5" customHeight="1">
      <c r="C209" s="19"/>
    </row>
    <row r="210" ht="13.5" customHeight="1">
      <c r="C210" s="19"/>
    </row>
    <row r="211" ht="13.5" customHeight="1">
      <c r="C211" s="19"/>
    </row>
    <row r="212" ht="13.5" customHeight="1">
      <c r="C212" s="19"/>
    </row>
    <row r="213" ht="13.5" customHeight="1">
      <c r="C213" s="19"/>
    </row>
    <row r="214" ht="13.5" customHeight="1">
      <c r="C214" s="19"/>
    </row>
    <row r="215" ht="13.5" customHeight="1">
      <c r="C215" s="19"/>
    </row>
    <row r="216" ht="13.5" customHeight="1">
      <c r="C216" s="19"/>
    </row>
    <row r="217" ht="13.5" customHeight="1">
      <c r="C217" s="19"/>
    </row>
    <row r="218" ht="13.5" customHeight="1">
      <c r="C218" s="19"/>
    </row>
    <row r="219" ht="13.5" customHeight="1">
      <c r="C219" s="19"/>
    </row>
    <row r="220" ht="13.5" customHeight="1">
      <c r="C220" s="19"/>
    </row>
    <row r="221" ht="13.5" customHeight="1">
      <c r="C221" s="19"/>
    </row>
    <row r="222" ht="13.5" customHeight="1">
      <c r="C222" s="19"/>
    </row>
    <row r="223" ht="13.5" customHeight="1">
      <c r="C223" s="19"/>
    </row>
    <row r="224" ht="13.5" customHeight="1">
      <c r="C224" s="19"/>
    </row>
    <row r="225" ht="13.5" customHeight="1">
      <c r="C225" s="19"/>
    </row>
    <row r="226" ht="13.5" customHeight="1">
      <c r="C226" s="19"/>
    </row>
    <row r="227" ht="13.5" customHeight="1">
      <c r="C227" s="19"/>
    </row>
    <row r="228" ht="13.5" customHeight="1">
      <c r="C228" s="19"/>
    </row>
    <row r="229" ht="13.5" customHeight="1">
      <c r="C229" s="19"/>
    </row>
    <row r="230" ht="13.5" customHeight="1">
      <c r="C230" s="19"/>
    </row>
    <row r="231" ht="13.5" customHeight="1">
      <c r="C231" s="19"/>
    </row>
    <row r="232" ht="13.5" customHeight="1">
      <c r="C232" s="19"/>
    </row>
    <row r="233" ht="13.5" customHeight="1">
      <c r="C233" s="19"/>
    </row>
    <row r="234" ht="13.5" customHeight="1">
      <c r="C234" s="19"/>
    </row>
    <row r="235" ht="13.5" customHeight="1">
      <c r="C235" s="19"/>
    </row>
    <row r="236" ht="13.5" customHeight="1">
      <c r="C236" s="19"/>
    </row>
    <row r="237" ht="13.5" customHeight="1">
      <c r="C237" s="19"/>
    </row>
    <row r="238" ht="13.5" customHeight="1">
      <c r="C238" s="19"/>
    </row>
    <row r="239" ht="13.5" customHeight="1">
      <c r="C239" s="19"/>
    </row>
    <row r="240" ht="13.5" customHeight="1">
      <c r="C240" s="19"/>
    </row>
    <row r="241" ht="13.5" customHeight="1">
      <c r="C241" s="19"/>
    </row>
    <row r="242" ht="13.5" customHeight="1">
      <c r="C242" s="19"/>
    </row>
    <row r="243" ht="13.5" customHeight="1">
      <c r="C243" s="19"/>
    </row>
    <row r="244" ht="13.5" customHeight="1">
      <c r="C244" s="19"/>
    </row>
    <row r="245" ht="13.5" customHeight="1">
      <c r="C245" s="19"/>
    </row>
    <row r="246" ht="13.5" customHeight="1">
      <c r="C246" s="19"/>
    </row>
    <row r="247" ht="13.5" customHeight="1">
      <c r="C247" s="19"/>
    </row>
    <row r="248" ht="13.5" customHeight="1">
      <c r="C248" s="19"/>
    </row>
    <row r="249" ht="13.5" customHeight="1">
      <c r="C249" s="19"/>
    </row>
    <row r="250" ht="13.5" customHeight="1">
      <c r="C250" s="19"/>
    </row>
    <row r="251" ht="13.5" customHeight="1">
      <c r="C251" s="19"/>
    </row>
    <row r="252" ht="13.5" customHeight="1">
      <c r="C252" s="19"/>
    </row>
    <row r="253" ht="13.5" customHeight="1">
      <c r="C253" s="19"/>
    </row>
    <row r="254" ht="13.5" customHeight="1">
      <c r="C254" s="19"/>
    </row>
    <row r="255" ht="13.5" customHeight="1">
      <c r="C255" s="19"/>
    </row>
    <row r="256" ht="13.5" customHeight="1">
      <c r="C256" s="19"/>
    </row>
    <row r="257" ht="13.5" customHeight="1">
      <c r="C257" s="19"/>
    </row>
    <row r="258" ht="13.5" customHeight="1">
      <c r="C258" s="19"/>
    </row>
    <row r="259" ht="13.5" customHeight="1">
      <c r="C259" s="19"/>
    </row>
    <row r="260" ht="13.5" customHeight="1">
      <c r="C260" s="19"/>
    </row>
    <row r="261" ht="13.5" customHeight="1">
      <c r="C261" s="19"/>
    </row>
    <row r="262" ht="13.5" customHeight="1">
      <c r="C262" s="19"/>
    </row>
    <row r="263" ht="13.5" customHeight="1">
      <c r="C263" s="19"/>
    </row>
    <row r="264" ht="13.5" customHeight="1">
      <c r="C264" s="19"/>
    </row>
    <row r="265" ht="13.5" customHeight="1">
      <c r="C265" s="19"/>
    </row>
    <row r="266" ht="13.5" customHeight="1">
      <c r="C266" s="19"/>
    </row>
    <row r="267" ht="13.5" customHeight="1">
      <c r="C267" s="19"/>
    </row>
    <row r="268" ht="13.5" customHeight="1">
      <c r="C268" s="19"/>
    </row>
    <row r="269" ht="13.5" customHeight="1">
      <c r="C269" s="19"/>
    </row>
    <row r="270" ht="13.5" customHeight="1">
      <c r="C270" s="19"/>
    </row>
    <row r="271" ht="13.5" customHeight="1">
      <c r="C271" s="19"/>
    </row>
    <row r="272" ht="13.5" customHeight="1">
      <c r="C272" s="19"/>
    </row>
    <row r="273" ht="13.5" customHeight="1">
      <c r="C273" s="19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13" width="14" customWidth="1"/>
  </cols>
  <sheetData>
    <row r="1">
      <c r="A1" t="inlineStr">
        <is>
          <t xml:space="preserve">Analysis: values reported in the revised paper (2026). Computed by the scripts in analysis/ on the graphs in output/provenance; the complete outputs (trails, matched nodes and edges) are in analysis/results/. The sheet Analysis_2018 keeps the original computation over the graphs of the first submission and is superseded.</t>
        </is>
      </c>
    </row>
    <row r="2"/>
    <row r="3">
      <c r="A3" t="inlineStr">
        <is>
          <t xml:space="preserve">Table 3 (Section 4.6.2): functional and variable components</t>
        </is>
      </c>
    </row>
    <row r="4">
      <c r="A4" t="inlineStr">
        <is>
          <t xml:space="preserve">Version</t>
        </is>
      </c>
      <c r="B4" t="inlineStr">
        <is>
          <t xml:space="preserve">|AI|</t>
        </is>
      </c>
      <c r="C4" t="inlineStr">
        <is>
          <t xml:space="preserve">TP_func AI-&gt;G</t>
        </is>
      </c>
      <c r="D4" t="inlineStr">
        <is>
          <t xml:space="preserve">FP_func</t>
        </is>
      </c>
      <c r="E4" t="inlineStr">
        <is>
          <t xml:space="preserve">TP_func G-&gt;AI</t>
        </is>
      </c>
      <c r="F4" t="inlineStr">
        <is>
          <t xml:space="preserve">FN_func</t>
        </is>
      </c>
      <c r="G4" t="inlineStr">
        <is>
          <t xml:space="preserve">|G|</t>
        </is>
      </c>
      <c r="H4" t="inlineStr">
        <is>
          <t xml:space="preserve">TP_var</t>
        </is>
      </c>
      <c r="I4" t="inlineStr">
        <is>
          <t xml:space="preserve">FP_var</t>
        </is>
      </c>
      <c r="J4" t="inlineStr">
        <is>
          <t xml:space="preserve">FN_var (incl. 7 ports)</t>
        </is>
      </c>
      <c r="K4" t="inlineStr">
        <is>
          <t xml:space="preserve">SP</t>
        </is>
      </c>
      <c r="L4" t="inlineStr">
        <is>
          <t xml:space="preserve">SR</t>
        </is>
      </c>
      <c r="M4" t="inlineStr">
        <is>
          <t xml:space="preserve">SF</t>
        </is>
      </c>
    </row>
    <row r="5">
      <c r="A5" t="inlineStr">
        <is>
          <t xml:space="preserve">Monolithic</t>
        </is>
      </c>
      <c r="B5">
        <v>0</v>
      </c>
      <c r="C5">
        <v>0.0</v>
      </c>
      <c r="D5">
        <v>0.0</v>
      </c>
      <c r="E5">
        <v>0.0</v>
      </c>
      <c r="F5">
        <v>14.0</v>
      </c>
      <c r="G5">
        <v>14</v>
      </c>
      <c r="H5">
        <v>16</v>
      </c>
      <c r="I5">
        <v>861</v>
      </c>
      <c r="J5">
        <v>31</v>
      </c>
      <c r="K5">
        <v>0.018</v>
      </c>
      <c r="L5">
        <v>0.262</v>
      </c>
      <c r="M5">
        <v>0.034</v>
      </c>
    </row>
    <row r="6">
      <c r="A6" t="inlineStr">
        <is>
          <t xml:space="preserve">Expert-modularized</t>
        </is>
      </c>
      <c r="B6">
        <v>14</v>
      </c>
      <c r="C6">
        <v>14.0</v>
      </c>
      <c r="D6">
        <v>0.0</v>
      </c>
      <c r="E6">
        <v>14.0</v>
      </c>
      <c r="F6">
        <v>0.0</v>
      </c>
      <c r="G6">
        <v>14</v>
      </c>
      <c r="H6">
        <v>40</v>
      </c>
      <c r="I6">
        <v>1</v>
      </c>
      <c r="J6">
        <v>7</v>
      </c>
      <c r="K6">
        <v>0.982</v>
      </c>
      <c r="L6">
        <v>0.885</v>
      </c>
      <c r="M6">
        <v>0.931</v>
      </c>
    </row>
    <row r="7">
      <c r="A7" t="inlineStr">
        <is>
          <t xml:space="preserve">LLM-modularized (Gemini)</t>
        </is>
      </c>
      <c r="B7">
        <v>8</v>
      </c>
      <c r="C7">
        <v>6.83</v>
      </c>
      <c r="D7">
        <v>1.17</v>
      </c>
      <c r="E7">
        <v>9.43</v>
      </c>
      <c r="F7">
        <v>4.57</v>
      </c>
      <c r="G7">
        <v>14</v>
      </c>
      <c r="H7">
        <v>31</v>
      </c>
      <c r="I7">
        <v>6</v>
      </c>
      <c r="J7">
        <v>16</v>
      </c>
      <c r="K7">
        <v>0.841</v>
      </c>
      <c r="L7">
        <v>0.663</v>
      </c>
      <c r="M7">
        <v>0.741</v>
      </c>
    </row>
    <row r="8"/>
    <row r="9">
      <c r="A9" t="inlineStr">
        <is>
          <t xml:space="preserve">Figure 8 (Section 4.6.1): monolithic graph, exact matching over all nodes</t>
        </is>
      </c>
    </row>
    <row r="10">
      <c r="A10" t="inlineStr">
        <is>
          <t xml:space="preserve">Version</t>
        </is>
      </c>
      <c r="B10" t="inlineStr">
        <is>
          <t xml:space="preserve">TP</t>
        </is>
      </c>
      <c r="C10" t="inlineStr">
        <is>
          <t xml:space="preserve">FP</t>
        </is>
      </c>
      <c r="D10" t="inlineStr">
        <is>
          <t xml:space="preserve">FN</t>
        </is>
      </c>
      <c r="E10" t="inlineStr">
        <is>
          <t xml:space="preserve">Precision</t>
        </is>
      </c>
      <c r="F10" t="inlineStr">
        <is>
          <t xml:space="preserve">Recall</t>
        </is>
      </c>
      <c r="G10" t="inlineStr">
        <is>
          <t xml:space="preserve">F-Measure</t>
        </is>
      </c>
    </row>
    <row r="11">
      <c r="A11" t="inlineStr">
        <is>
          <t xml:space="preserve">Monolithic</t>
        </is>
      </c>
      <c r="B11">
        <v>16</v>
      </c>
      <c r="C11">
        <v>1343</v>
      </c>
      <c r="D11">
        <v>45</v>
      </c>
      <c r="E11">
        <v>0.012</v>
      </c>
      <c r="F11">
        <v>0.262</v>
      </c>
      <c r="G11">
        <v>0.023</v>
      </c>
    </row>
    <row r="12"/>
    <row r="13">
      <c r="A13" t="inlineStr">
        <is>
          <t xml:space="preserve">Edge comparison (Section 4.6.1): one-to-one, orientation ignored; sheet Edges with row 10 corrected</t>
        </is>
      </c>
    </row>
    <row r="14">
      <c r="A14" t="inlineStr">
        <is>
          <t xml:space="preserve">Version</t>
        </is>
      </c>
      <c r="B14" t="inlineStr">
        <is>
          <t xml:space="preserve">Ground-truth edges</t>
        </is>
      </c>
      <c r="C14" t="inlineStr">
        <is>
          <t xml:space="preserve">Candidate graph edges</t>
        </is>
      </c>
      <c r="D14" t="inlineStr">
        <is>
          <t xml:space="preserve">TP</t>
        </is>
      </c>
      <c r="E14" t="inlineStr">
        <is>
          <t xml:space="preserve">FN</t>
        </is>
      </c>
      <c r="F14" t="inlineStr">
        <is>
          <t xml:space="preserve">FP</t>
        </is>
      </c>
      <c r="G14" t="inlineStr">
        <is>
          <t xml:space="preserve">Precision</t>
        </is>
      </c>
      <c r="H14" t="inlineStr">
        <is>
          <t xml:space="preserve">Recall</t>
        </is>
      </c>
      <c r="I14" t="inlineStr">
        <is>
          <t xml:space="preserve">F-Measure</t>
        </is>
      </c>
    </row>
    <row r="15">
      <c r="A15" t="inlineStr">
        <is>
          <t xml:space="preserve">Expert-modularized</t>
        </is>
      </c>
      <c r="B15">
        <v>95</v>
      </c>
      <c r="C15">
        <v>93</v>
      </c>
      <c r="D15">
        <v>89</v>
      </c>
      <c r="E15">
        <v>6</v>
      </c>
      <c r="F15">
        <v>4</v>
      </c>
      <c r="G15">
        <v>0.957</v>
      </c>
      <c r="H15">
        <v>0.937</v>
      </c>
      <c r="I15">
        <v>0.947</v>
      </c>
    </row>
    <row r="16">
      <c r="A16" t="inlineStr">
        <is>
          <t xml:space="preserve">Monolithic</t>
        </is>
      </c>
      <c r="B16">
        <v>95</v>
      </c>
      <c r="C16">
        <v>63</v>
      </c>
      <c r="D16">
        <v>0</v>
      </c>
      <c r="E16">
        <v>95</v>
      </c>
      <c r="F16">
        <v>63</v>
      </c>
      <c r="G16">
        <v>0.0</v>
      </c>
      <c r="H16">
        <v>0.0</v>
      </c>
      <c r="I16">
        <v>0.0</v>
      </c>
    </row>
    <row r="17"/>
    <row r="18">
      <c r="A18" t="inlineStr">
        <is>
          <t xml:space="preserve">Robustness check (Section 9): top-level variables matched by name and final value, no ports</t>
        </is>
      </c>
    </row>
    <row r="19">
      <c r="A19" t="inlineStr">
        <is>
          <t xml:space="preserve">Version</t>
        </is>
      </c>
      <c r="B19" t="inlineStr">
        <is>
          <t xml:space="preserve">TP</t>
        </is>
      </c>
      <c r="C19" t="inlineStr">
        <is>
          <t xml:space="preserve">FP</t>
        </is>
      </c>
      <c r="D19" t="inlineStr">
        <is>
          <t xml:space="preserve">FN</t>
        </is>
      </c>
      <c r="E19" t="inlineStr">
        <is>
          <t xml:space="preserve">SP</t>
        </is>
      </c>
      <c r="F19" t="inlineStr">
        <is>
          <t xml:space="preserve">SR</t>
        </is>
      </c>
      <c r="G19" t="inlineStr">
        <is>
          <t xml:space="preserve">SF</t>
        </is>
      </c>
    </row>
    <row r="20">
      <c r="A20" t="inlineStr">
        <is>
          <t xml:space="preserve">Monolithic</t>
        </is>
      </c>
      <c r="B20">
        <v>22</v>
      </c>
      <c r="C20">
        <v>56</v>
      </c>
      <c r="D20">
        <v>15</v>
      </c>
      <c r="E20">
        <v>0.282</v>
      </c>
      <c r="F20">
        <v>0.431</v>
      </c>
      <c r="G20">
        <v>0.341</v>
      </c>
    </row>
    <row r="21">
      <c r="A21" t="inlineStr">
        <is>
          <t xml:space="preserve">LLM-modularized (Gemini)</t>
        </is>
      </c>
      <c r="B21">
        <v>20</v>
      </c>
      <c r="C21">
        <v>14</v>
      </c>
      <c r="D21">
        <v>17</v>
      </c>
      <c r="E21">
        <v>0.639</v>
      </c>
      <c r="F21">
        <v>0.577</v>
      </c>
      <c r="G21">
        <v>0.606</v>
      </c>
    </row>
    <row r="22">
      <c r="A22" t="inlineStr">
        <is>
          <t xml:space="preserve">Expert-modularized (self-comparison)</t>
        </is>
      </c>
      <c r="B22">
        <v>37</v>
      </c>
      <c r="C22">
        <v>0</v>
      </c>
      <c r="D22">
        <v>0</v>
      </c>
      <c r="E22">
        <v>1.0</v>
      </c>
      <c r="F22">
        <v>1.0</v>
      </c>
      <c r="G22">
        <v>1.0</v>
      </c>
    </row>
  </sheetData>
</worksheet>
</file>